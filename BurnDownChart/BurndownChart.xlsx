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t-my.sharepoint.com/personal/20112513_wit_ie/Documents/Semester 3/INTRO TO GAME DESIGNB/"/>
    </mc:Choice>
  </mc:AlternateContent>
  <xr:revisionPtr revIDLastSave="61" documentId="8_{98E8CB03-879B-41B5-89ED-A4DCA8633B30}" xr6:coauthVersionLast="47" xr6:coauthVersionMax="47" xr10:uidLastSave="{71BC8556-3817-4E18-8A6D-69C5573F4FF5}"/>
  <bookViews>
    <workbookView xWindow="-108" yWindow="-108" windowWidth="23256" windowHeight="13896" activeTab="3" xr2:uid="{00000000-000D-0000-FFFF-FFFF00000000}"/>
  </bookViews>
  <sheets>
    <sheet name="Main" sheetId="1" r:id="rId1"/>
    <sheet name="Task Rank Chart" sheetId="2" r:id="rId2"/>
    <sheet name="Person Chart" sheetId="3" r:id="rId3"/>
    <sheet name="Daily Scr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L29" i="1"/>
  <c r="K10" i="1"/>
  <c r="I26" i="1"/>
  <c r="J19" i="1"/>
  <c r="L19" i="1"/>
  <c r="M19" i="1" s="1"/>
  <c r="H2" i="4"/>
  <c r="G2" i="4"/>
  <c r="F2" i="4"/>
  <c r="E2" i="4"/>
  <c r="D2" i="4"/>
  <c r="C2" i="4"/>
  <c r="A1" i="4"/>
  <c r="H140" i="1"/>
  <c r="H134" i="1"/>
  <c r="G134" i="1"/>
  <c r="H133" i="1"/>
  <c r="G133" i="1"/>
  <c r="H132" i="1"/>
  <c r="G132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G127" i="1"/>
  <c r="G126" i="1"/>
  <c r="G125" i="1"/>
  <c r="G124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K108" i="1"/>
  <c r="K107" i="1"/>
  <c r="K106" i="1"/>
  <c r="K105" i="1"/>
  <c r="F105" i="1"/>
  <c r="K104" i="1"/>
  <c r="K103" i="1"/>
  <c r="K102" i="1"/>
  <c r="K100" i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F100" i="1" s="1"/>
  <c r="H100" i="1"/>
  <c r="I100" i="1" s="1"/>
  <c r="J100" i="1" s="1"/>
  <c r="E100" i="1"/>
  <c r="N99" i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F99" i="1" s="1"/>
  <c r="M99" i="1"/>
  <c r="J99" i="1"/>
  <c r="K99" i="1" s="1"/>
  <c r="L99" i="1" s="1"/>
  <c r="E99" i="1"/>
  <c r="H99" i="1" s="1"/>
  <c r="I99" i="1" s="1"/>
  <c r="K98" i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F98" i="1" s="1"/>
  <c r="E98" i="1"/>
  <c r="H98" i="1" s="1"/>
  <c r="I98" i="1" s="1"/>
  <c r="J98" i="1" s="1"/>
  <c r="P97" i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F97" i="1" s="1"/>
  <c r="O97" i="1"/>
  <c r="K97" i="1"/>
  <c r="L97" i="1" s="1"/>
  <c r="M97" i="1" s="1"/>
  <c r="N97" i="1" s="1"/>
  <c r="J97" i="1"/>
  <c r="H97" i="1"/>
  <c r="I97" i="1" s="1"/>
  <c r="E97" i="1"/>
  <c r="E96" i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F96" i="1" s="1"/>
  <c r="J95" i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F95" i="1" s="1"/>
  <c r="I95" i="1"/>
  <c r="H95" i="1"/>
  <c r="E95" i="1"/>
  <c r="E94" i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F94" i="1" s="1"/>
  <c r="H93" i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F93" i="1" s="1"/>
  <c r="E93" i="1"/>
  <c r="I92" i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F92" i="1" s="1"/>
  <c r="H92" i="1"/>
  <c r="E92" i="1"/>
  <c r="I91" i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F91" i="1" s="1"/>
  <c r="H91" i="1"/>
  <c r="E91" i="1"/>
  <c r="H90" i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F90" i="1" s="1"/>
  <c r="E90" i="1"/>
  <c r="I89" i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F89" i="1" s="1"/>
  <c r="H89" i="1"/>
  <c r="E89" i="1"/>
  <c r="H88" i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F88" i="1" s="1"/>
  <c r="E88" i="1"/>
  <c r="H87" i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F87" i="1" s="1"/>
  <c r="E87" i="1"/>
  <c r="K86" i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F86" i="1" s="1"/>
  <c r="H86" i="1"/>
  <c r="I86" i="1" s="1"/>
  <c r="J86" i="1" s="1"/>
  <c r="E86" i="1"/>
  <c r="J85" i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F85" i="1" s="1"/>
  <c r="I85" i="1"/>
  <c r="E85" i="1"/>
  <c r="H85" i="1" s="1"/>
  <c r="L84" i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F84" i="1" s="1"/>
  <c r="I84" i="1"/>
  <c r="J84" i="1" s="1"/>
  <c r="K84" i="1" s="1"/>
  <c r="H84" i="1"/>
  <c r="E84" i="1"/>
  <c r="J83" i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F83" i="1" s="1"/>
  <c r="E83" i="1"/>
  <c r="H83" i="1" s="1"/>
  <c r="I83" i="1" s="1"/>
  <c r="H82" i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F82" i="1" s="1"/>
  <c r="E82" i="1"/>
  <c r="W81" i="1"/>
  <c r="X81" i="1" s="1"/>
  <c r="Y81" i="1" s="1"/>
  <c r="Z81" i="1" s="1"/>
  <c r="F81" i="1" s="1"/>
  <c r="H81" i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E81" i="1"/>
  <c r="K80" i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F80" i="1" s="1"/>
  <c r="E80" i="1"/>
  <c r="H80" i="1" s="1"/>
  <c r="I80" i="1" s="1"/>
  <c r="J80" i="1" s="1"/>
  <c r="K79" i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F79" i="1" s="1"/>
  <c r="J79" i="1"/>
  <c r="H79" i="1"/>
  <c r="I79" i="1" s="1"/>
  <c r="E79" i="1"/>
  <c r="I78" i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F78" i="1" s="1"/>
  <c r="E78" i="1"/>
  <c r="H78" i="1" s="1"/>
  <c r="E77" i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F77" i="1" s="1"/>
  <c r="M76" i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F76" i="1" s="1"/>
  <c r="K76" i="1"/>
  <c r="L76" i="1" s="1"/>
  <c r="E76" i="1"/>
  <c r="H76" i="1" s="1"/>
  <c r="I76" i="1" s="1"/>
  <c r="J76" i="1" s="1"/>
  <c r="N75" i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F75" i="1" s="1"/>
  <c r="H75" i="1"/>
  <c r="I75" i="1" s="1"/>
  <c r="J75" i="1" s="1"/>
  <c r="K75" i="1" s="1"/>
  <c r="L75" i="1" s="1"/>
  <c r="M75" i="1" s="1"/>
  <c r="E75" i="1"/>
  <c r="I74" i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F74" i="1" s="1"/>
  <c r="H74" i="1"/>
  <c r="E74" i="1"/>
  <c r="I73" i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F73" i="1" s="1"/>
  <c r="E73" i="1"/>
  <c r="H73" i="1" s="1"/>
  <c r="E72" i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F72" i="1" s="1"/>
  <c r="E71" i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F71" i="1" s="1"/>
  <c r="M70" i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F70" i="1" s="1"/>
  <c r="H70" i="1"/>
  <c r="I70" i="1" s="1"/>
  <c r="J70" i="1" s="1"/>
  <c r="K70" i="1" s="1"/>
  <c r="L70" i="1" s="1"/>
  <c r="E70" i="1"/>
  <c r="Y69" i="1"/>
  <c r="Z69" i="1" s="1"/>
  <c r="F69" i="1" s="1"/>
  <c r="K69" i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E69" i="1"/>
  <c r="H69" i="1" s="1"/>
  <c r="I69" i="1" s="1"/>
  <c r="J69" i="1" s="1"/>
  <c r="I68" i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F68" i="1" s="1"/>
  <c r="E68" i="1"/>
  <c r="H68" i="1" s="1"/>
  <c r="E67" i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F67" i="1" s="1"/>
  <c r="Y66" i="1"/>
  <c r="Z66" i="1" s="1"/>
  <c r="F66" i="1" s="1"/>
  <c r="E66" i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M65" i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F65" i="1" s="1"/>
  <c r="K65" i="1"/>
  <c r="L65" i="1" s="1"/>
  <c r="E65" i="1"/>
  <c r="H65" i="1" s="1"/>
  <c r="I65" i="1" s="1"/>
  <c r="J65" i="1" s="1"/>
  <c r="J64" i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I64" i="1"/>
  <c r="F64" i="1"/>
  <c r="E64" i="1"/>
  <c r="H64" i="1" s="1"/>
  <c r="E63" i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F63" i="1" s="1"/>
  <c r="E62" i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F62" i="1" s="1"/>
  <c r="E61" i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F61" i="1" s="1"/>
  <c r="H60" i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F60" i="1" s="1"/>
  <c r="E60" i="1"/>
  <c r="I59" i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F59" i="1" s="1"/>
  <c r="E59" i="1"/>
  <c r="H59" i="1" s="1"/>
  <c r="H58" i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F58" i="1" s="1"/>
  <c r="E58" i="1"/>
  <c r="E57" i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F57" i="1" s="1"/>
  <c r="R56" i="1"/>
  <c r="S56" i="1" s="1"/>
  <c r="T56" i="1" s="1"/>
  <c r="U56" i="1" s="1"/>
  <c r="V56" i="1" s="1"/>
  <c r="W56" i="1" s="1"/>
  <c r="X56" i="1" s="1"/>
  <c r="Y56" i="1" s="1"/>
  <c r="Z56" i="1" s="1"/>
  <c r="F56" i="1" s="1"/>
  <c r="H56" i="1"/>
  <c r="I56" i="1" s="1"/>
  <c r="J56" i="1" s="1"/>
  <c r="K56" i="1" s="1"/>
  <c r="L56" i="1" s="1"/>
  <c r="M56" i="1" s="1"/>
  <c r="N56" i="1" s="1"/>
  <c r="O56" i="1" s="1"/>
  <c r="P56" i="1" s="1"/>
  <c r="Q56" i="1" s="1"/>
  <c r="E56" i="1"/>
  <c r="H55" i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F55" i="1" s="1"/>
  <c r="E55" i="1"/>
  <c r="E54" i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F54" i="1" s="1"/>
  <c r="E53" i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F53" i="1" s="1"/>
  <c r="I52" i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F52" i="1" s="1"/>
  <c r="H52" i="1"/>
  <c r="E52" i="1"/>
  <c r="E51" i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F51" i="1" s="1"/>
  <c r="K50" i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F50" i="1" s="1"/>
  <c r="J50" i="1"/>
  <c r="I50" i="1"/>
  <c r="E50" i="1"/>
  <c r="H50" i="1" s="1"/>
  <c r="H49" i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F49" i="1" s="1"/>
  <c r="E49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F48" i="1" s="1"/>
  <c r="E48" i="1"/>
  <c r="H48" i="1" s="1"/>
  <c r="H47" i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F47" i="1" s="1"/>
  <c r="E47" i="1"/>
  <c r="J46" i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F46" i="1" s="1"/>
  <c r="H46" i="1"/>
  <c r="I46" i="1" s="1"/>
  <c r="E46" i="1"/>
  <c r="J45" i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F45" i="1" s="1"/>
  <c r="I45" i="1"/>
  <c r="H45" i="1"/>
  <c r="E45" i="1"/>
  <c r="H44" i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F44" i="1" s="1"/>
  <c r="E44" i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F43" i="1" s="1"/>
  <c r="E43" i="1"/>
  <c r="H43" i="1" s="1"/>
  <c r="L42" i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F42" i="1" s="1"/>
  <c r="J42" i="1"/>
  <c r="K42" i="1" s="1"/>
  <c r="H42" i="1"/>
  <c r="I42" i="1" s="1"/>
  <c r="E42" i="1"/>
  <c r="E41" i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F41" i="1" s="1"/>
  <c r="Q40" i="1"/>
  <c r="R40" i="1" s="1"/>
  <c r="S40" i="1" s="1"/>
  <c r="T40" i="1" s="1"/>
  <c r="U40" i="1" s="1"/>
  <c r="V40" i="1" s="1"/>
  <c r="W40" i="1" s="1"/>
  <c r="X40" i="1" s="1"/>
  <c r="Y40" i="1" s="1"/>
  <c r="Z40" i="1" s="1"/>
  <c r="F40" i="1" s="1"/>
  <c r="E40" i="1"/>
  <c r="H40" i="1" s="1"/>
  <c r="I40" i="1" s="1"/>
  <c r="J40" i="1" s="1"/>
  <c r="K40" i="1" s="1"/>
  <c r="L40" i="1" s="1"/>
  <c r="M40" i="1" s="1"/>
  <c r="N40" i="1" s="1"/>
  <c r="O40" i="1" s="1"/>
  <c r="P40" i="1" s="1"/>
  <c r="H39" i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F39" i="1" s="1"/>
  <c r="E39" i="1"/>
  <c r="E38" i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F38" i="1" s="1"/>
  <c r="K37" i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F37" i="1" s="1"/>
  <c r="J37" i="1"/>
  <c r="E37" i="1"/>
  <c r="H37" i="1" s="1"/>
  <c r="I37" i="1" s="1"/>
  <c r="I36" i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F36" i="1" s="1"/>
  <c r="H36" i="1"/>
  <c r="E36" i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F35" i="1" s="1"/>
  <c r="E35" i="1"/>
  <c r="H35" i="1" s="1"/>
  <c r="M34" i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F34" i="1" s="1"/>
  <c r="L34" i="1"/>
  <c r="I34" i="1"/>
  <c r="J34" i="1" s="1"/>
  <c r="K34" i="1" s="1"/>
  <c r="E34" i="1"/>
  <c r="H34" i="1" s="1"/>
  <c r="E33" i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F33" i="1" s="1"/>
  <c r="N32" i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F32" i="1" s="1"/>
  <c r="H32" i="1"/>
  <c r="I32" i="1" s="1"/>
  <c r="J32" i="1" s="1"/>
  <c r="K32" i="1" s="1"/>
  <c r="L32" i="1" s="1"/>
  <c r="M32" i="1" s="1"/>
  <c r="E32" i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F31" i="1" s="1"/>
  <c r="E31" i="1"/>
  <c r="H31" i="1" s="1"/>
  <c r="I31" i="1" s="1"/>
  <c r="E30" i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F30" i="1" s="1"/>
  <c r="E29" i="1"/>
  <c r="H29" i="1" s="1"/>
  <c r="M28" i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F28" i="1" s="1"/>
  <c r="E28" i="1"/>
  <c r="H28" i="1" s="1"/>
  <c r="I28" i="1" s="1"/>
  <c r="J28" i="1" s="1"/>
  <c r="K28" i="1" s="1"/>
  <c r="L28" i="1" s="1"/>
  <c r="O27" i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F27" i="1" s="1"/>
  <c r="E27" i="1"/>
  <c r="H27" i="1" s="1"/>
  <c r="I27" i="1" s="1"/>
  <c r="J27" i="1" s="1"/>
  <c r="K27" i="1" s="1"/>
  <c r="L27" i="1" s="1"/>
  <c r="M27" i="1" s="1"/>
  <c r="N27" i="1" s="1"/>
  <c r="E26" i="1"/>
  <c r="H26" i="1" s="1"/>
  <c r="J26" i="1" s="1"/>
  <c r="K26" i="1" s="1"/>
  <c r="L26" i="1" s="1"/>
  <c r="N25" i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F25" i="1" s="1"/>
  <c r="H25" i="1"/>
  <c r="I25" i="1" s="1"/>
  <c r="J25" i="1" s="1"/>
  <c r="K25" i="1" s="1"/>
  <c r="L25" i="1" s="1"/>
  <c r="E25" i="1"/>
  <c r="O24" i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F24" i="1" s="1"/>
  <c r="N24" i="1"/>
  <c r="H24" i="1"/>
  <c r="I24" i="1" s="1"/>
  <c r="J24" i="1" s="1"/>
  <c r="K24" i="1" s="1"/>
  <c r="L24" i="1" s="1"/>
  <c r="H23" i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F23" i="1" s="1"/>
  <c r="E23" i="1"/>
  <c r="H22" i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F22" i="1" s="1"/>
  <c r="E22" i="1"/>
  <c r="J21" i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F21" i="1" s="1"/>
  <c r="I21" i="1"/>
  <c r="E21" i="1"/>
  <c r="H21" i="1" s="1"/>
  <c r="E20" i="1"/>
  <c r="H20" i="1" s="1"/>
  <c r="E19" i="1"/>
  <c r="H19" i="1" s="1"/>
  <c r="H18" i="1"/>
  <c r="E18" i="1"/>
  <c r="E17" i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F17" i="1" s="1"/>
  <c r="H16" i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F16" i="1" s="1"/>
  <c r="E16" i="1"/>
  <c r="H15" i="1"/>
  <c r="I15" i="1" s="1"/>
  <c r="J15" i="1" s="1"/>
  <c r="E15" i="1"/>
  <c r="M14" i="1"/>
  <c r="L14" i="1"/>
  <c r="K14" i="1"/>
  <c r="E14" i="1"/>
  <c r="E13" i="1"/>
  <c r="H13" i="1" s="1"/>
  <c r="H12" i="1"/>
  <c r="I12" i="1" s="1"/>
  <c r="E12" i="1"/>
  <c r="K11" i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F11" i="1" s="1"/>
  <c r="H11" i="1"/>
  <c r="H10" i="1"/>
  <c r="I10" i="1" s="1"/>
  <c r="J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F10" i="1" s="1"/>
  <c r="E10" i="1"/>
  <c r="H9" i="1"/>
  <c r="I9" i="1" s="1"/>
  <c r="J9" i="1" s="1"/>
  <c r="K9" i="1" s="1"/>
  <c r="L9" i="1" s="1"/>
  <c r="E9" i="1"/>
  <c r="O8" i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F8" i="1" s="1"/>
  <c r="N8" i="1"/>
  <c r="M8" i="1"/>
  <c r="I8" i="1"/>
  <c r="J8" i="1" s="1"/>
  <c r="H8" i="1"/>
  <c r="L7" i="1"/>
  <c r="H7" i="1"/>
  <c r="P6" i="1"/>
  <c r="Q6" i="1" s="1"/>
  <c r="O6" i="1"/>
  <c r="N6" i="1"/>
  <c r="H6" i="1"/>
  <c r="H5" i="1"/>
  <c r="I5" i="1" s="1"/>
  <c r="J5" i="1" s="1"/>
  <c r="E5" i="1"/>
  <c r="I3" i="1"/>
  <c r="D1" i="1"/>
  <c r="M26" i="1" l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F26" i="1" s="1"/>
  <c r="J127" i="1"/>
  <c r="K15" i="1"/>
  <c r="L15" i="1" s="1"/>
  <c r="L124" i="1"/>
  <c r="M9" i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F9" i="1" s="1"/>
  <c r="J12" i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F12" i="1" s="1"/>
  <c r="R6" i="1"/>
  <c r="I13" i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F13" i="1" s="1"/>
  <c r="H131" i="1"/>
  <c r="H119" i="1"/>
  <c r="I20" i="1"/>
  <c r="A3" i="4"/>
  <c r="I137" i="1"/>
  <c r="I140" i="1" s="1"/>
  <c r="I134" i="1"/>
  <c r="I142" i="1"/>
  <c r="H142" i="1" s="1"/>
  <c r="I133" i="1"/>
  <c r="I132" i="1"/>
  <c r="I2" i="1"/>
  <c r="J1" i="1" s="1"/>
  <c r="J124" i="1"/>
  <c r="K8" i="1"/>
  <c r="H118" i="1"/>
  <c r="I19" i="1"/>
  <c r="H120" i="1"/>
  <c r="I29" i="1"/>
  <c r="H14" i="1"/>
  <c r="E1" i="1"/>
  <c r="H113" i="1" s="1"/>
  <c r="H125" i="1"/>
  <c r="I7" i="1"/>
  <c r="N14" i="1"/>
  <c r="H126" i="1"/>
  <c r="J131" i="1"/>
  <c r="H124" i="1"/>
  <c r="I18" i="1"/>
  <c r="K5" i="1"/>
  <c r="N124" i="1"/>
  <c r="M7" i="1"/>
  <c r="I124" i="1"/>
  <c r="M124" i="1"/>
  <c r="K127" i="1"/>
  <c r="G136" i="1"/>
  <c r="J3" i="1" l="1"/>
  <c r="H127" i="1"/>
  <c r="Z140" i="1" s="1"/>
  <c r="I14" i="1"/>
  <c r="I126" i="1"/>
  <c r="J18" i="1"/>
  <c r="I119" i="1"/>
  <c r="J20" i="1"/>
  <c r="Z137" i="1"/>
  <c r="H139" i="1"/>
  <c r="I120" i="1"/>
  <c r="O14" i="1"/>
  <c r="O124" i="1" s="1"/>
  <c r="S6" i="1"/>
  <c r="B3" i="4"/>
  <c r="K3" i="4" s="1"/>
  <c r="A4" i="4"/>
  <c r="I118" i="1"/>
  <c r="K124" i="1"/>
  <c r="H115" i="1"/>
  <c r="I125" i="1"/>
  <c r="I117" i="1"/>
  <c r="J7" i="1"/>
  <c r="M15" i="1"/>
  <c r="L127" i="1"/>
  <c r="K131" i="1"/>
  <c r="L5" i="1"/>
  <c r="H117" i="1"/>
  <c r="H122" i="1" s="1"/>
  <c r="C143" i="1" s="1"/>
  <c r="H144" i="1" s="1"/>
  <c r="I131" i="1"/>
  <c r="N7" i="1"/>
  <c r="H138" i="1" l="1"/>
  <c r="J120" i="1"/>
  <c r="J118" i="1"/>
  <c r="J126" i="1"/>
  <c r="I122" i="1"/>
  <c r="I144" i="1" s="1"/>
  <c r="J119" i="1"/>
  <c r="K20" i="1"/>
  <c r="O7" i="1"/>
  <c r="T6" i="1"/>
  <c r="I127" i="1"/>
  <c r="I138" i="1" s="1"/>
  <c r="I115" i="1"/>
  <c r="A5" i="4"/>
  <c r="B4" i="4"/>
  <c r="K4" i="4" s="1"/>
  <c r="L131" i="1"/>
  <c r="M5" i="1"/>
  <c r="P14" i="1"/>
  <c r="P124" i="1" s="1"/>
  <c r="J137" i="1"/>
  <c r="J140" i="1" s="1"/>
  <c r="J134" i="1"/>
  <c r="J142" i="1"/>
  <c r="J133" i="1"/>
  <c r="J132" i="1"/>
  <c r="J115" i="1"/>
  <c r="J2" i="1"/>
  <c r="K1" i="1" s="1"/>
  <c r="N15" i="1"/>
  <c r="M127" i="1"/>
  <c r="J117" i="1"/>
  <c r="J125" i="1"/>
  <c r="K3" i="1" l="1"/>
  <c r="M131" i="1"/>
  <c r="N5" i="1"/>
  <c r="K118" i="1"/>
  <c r="K125" i="1"/>
  <c r="O15" i="1"/>
  <c r="N127" i="1"/>
  <c r="J138" i="1"/>
  <c r="A6" i="4"/>
  <c r="B5" i="4"/>
  <c r="K5" i="4" s="1"/>
  <c r="L20" i="1"/>
  <c r="K119" i="1"/>
  <c r="J122" i="1"/>
  <c r="J144" i="1" s="1"/>
  <c r="U6" i="1"/>
  <c r="P7" i="1"/>
  <c r="Q14" i="1"/>
  <c r="Q124" i="1" s="1"/>
  <c r="K126" i="1"/>
  <c r="K117" i="1"/>
  <c r="K120" i="1"/>
  <c r="L118" i="1" l="1"/>
  <c r="L125" i="1"/>
  <c r="A7" i="4"/>
  <c r="B6" i="4"/>
  <c r="K6" i="4" s="1"/>
  <c r="M20" i="1"/>
  <c r="L119" i="1"/>
  <c r="P15" i="1"/>
  <c r="O127" i="1"/>
  <c r="R14" i="1"/>
  <c r="R124" i="1" s="1"/>
  <c r="Q7" i="1"/>
  <c r="N131" i="1"/>
  <c r="O5" i="1"/>
  <c r="V6" i="1"/>
  <c r="K137" i="1"/>
  <c r="K140" i="1" s="1"/>
  <c r="K115" i="1"/>
  <c r="K134" i="1"/>
  <c r="K142" i="1"/>
  <c r="K133" i="1"/>
  <c r="K132" i="1"/>
  <c r="K2" i="1"/>
  <c r="L1" i="1" s="1"/>
  <c r="L120" i="1"/>
  <c r="M29" i="1"/>
  <c r="K122" i="1"/>
  <c r="K144" i="1" s="1"/>
  <c r="L126" i="1"/>
  <c r="M18" i="1"/>
  <c r="L117" i="1"/>
  <c r="K138" i="1" l="1"/>
  <c r="L3" i="1"/>
  <c r="M120" i="1"/>
  <c r="N29" i="1"/>
  <c r="Q15" i="1"/>
  <c r="P127" i="1"/>
  <c r="M119" i="1"/>
  <c r="N20" i="1"/>
  <c r="W6" i="1"/>
  <c r="A8" i="4"/>
  <c r="B7" i="4"/>
  <c r="K7" i="4" s="1"/>
  <c r="M126" i="1"/>
  <c r="N18" i="1"/>
  <c r="M117" i="1"/>
  <c r="R7" i="1"/>
  <c r="S14" i="1"/>
  <c r="S124" i="1" s="1"/>
  <c r="L122" i="1"/>
  <c r="L144" i="1" s="1"/>
  <c r="M118" i="1"/>
  <c r="N19" i="1"/>
  <c r="M125" i="1"/>
  <c r="O131" i="1"/>
  <c r="P5" i="1"/>
  <c r="B8" i="4" l="1"/>
  <c r="K8" i="4" s="1"/>
  <c r="A9" i="4"/>
  <c r="N118" i="1"/>
  <c r="O19" i="1"/>
  <c r="N125" i="1"/>
  <c r="N126" i="1"/>
  <c r="O18" i="1"/>
  <c r="N117" i="1"/>
  <c r="R15" i="1"/>
  <c r="Q127" i="1"/>
  <c r="P131" i="1"/>
  <c r="Q5" i="1"/>
  <c r="T14" i="1"/>
  <c r="T124" i="1" s="1"/>
  <c r="O29" i="1"/>
  <c r="N120" i="1"/>
  <c r="S7" i="1"/>
  <c r="L134" i="1"/>
  <c r="L142" i="1"/>
  <c r="L133" i="1"/>
  <c r="L132" i="1"/>
  <c r="L137" i="1"/>
  <c r="L140" i="1" s="1"/>
  <c r="L115" i="1"/>
  <c r="L2" i="1"/>
  <c r="M1" i="1" s="1"/>
  <c r="X6" i="1"/>
  <c r="N119" i="1"/>
  <c r="O20" i="1"/>
  <c r="M122" i="1"/>
  <c r="M144" i="1" s="1"/>
  <c r="N122" i="1" l="1"/>
  <c r="N144" i="1" s="1"/>
  <c r="L138" i="1"/>
  <c r="M3" i="1"/>
  <c r="U14" i="1"/>
  <c r="U124" i="1" s="1"/>
  <c r="O126" i="1"/>
  <c r="P18" i="1"/>
  <c r="O117" i="1"/>
  <c r="Q131" i="1"/>
  <c r="R5" i="1"/>
  <c r="S15" i="1"/>
  <c r="R127" i="1"/>
  <c r="A10" i="4"/>
  <c r="B9" i="4"/>
  <c r="K9" i="4" s="1"/>
  <c r="P19" i="1"/>
  <c r="O118" i="1"/>
  <c r="O125" i="1"/>
  <c r="T7" i="1"/>
  <c r="O119" i="1"/>
  <c r="P20" i="1"/>
  <c r="Y6" i="1"/>
  <c r="O120" i="1"/>
  <c r="P29" i="1"/>
  <c r="Z6" i="1" l="1"/>
  <c r="O122" i="1"/>
  <c r="O144" i="1" s="1"/>
  <c r="P119" i="1"/>
  <c r="Q20" i="1"/>
  <c r="U7" i="1"/>
  <c r="A11" i="4"/>
  <c r="B10" i="4"/>
  <c r="K10" i="4" s="1"/>
  <c r="P126" i="1"/>
  <c r="Q18" i="1"/>
  <c r="P117" i="1"/>
  <c r="Q29" i="1"/>
  <c r="P120" i="1"/>
  <c r="T15" i="1"/>
  <c r="S127" i="1"/>
  <c r="R131" i="1"/>
  <c r="S5" i="1"/>
  <c r="M134" i="1"/>
  <c r="M142" i="1"/>
  <c r="M133" i="1"/>
  <c r="M132" i="1"/>
  <c r="M137" i="1"/>
  <c r="M140" i="1" s="1"/>
  <c r="M115" i="1"/>
  <c r="M2" i="1"/>
  <c r="N1" i="1" s="1"/>
  <c r="V14" i="1"/>
  <c r="V124" i="1" s="1"/>
  <c r="P118" i="1"/>
  <c r="Q19" i="1"/>
  <c r="P125" i="1"/>
  <c r="P122" i="1" l="1"/>
  <c r="P144" i="1" s="1"/>
  <c r="M138" i="1"/>
  <c r="N3" i="1"/>
  <c r="Q126" i="1"/>
  <c r="R18" i="1"/>
  <c r="Q117" i="1"/>
  <c r="A12" i="4"/>
  <c r="B11" i="4"/>
  <c r="K11" i="4" s="1"/>
  <c r="V7" i="1"/>
  <c r="S131" i="1"/>
  <c r="T5" i="1"/>
  <c r="Q118" i="1"/>
  <c r="R19" i="1"/>
  <c r="S19" i="1" s="1"/>
  <c r="Q125" i="1"/>
  <c r="F6" i="1"/>
  <c r="Q119" i="1"/>
  <c r="R20" i="1"/>
  <c r="U15" i="1"/>
  <c r="T127" i="1"/>
  <c r="W14" i="1"/>
  <c r="W124" i="1" s="1"/>
  <c r="Q120" i="1"/>
  <c r="R29" i="1"/>
  <c r="R118" i="1" l="1"/>
  <c r="R125" i="1"/>
  <c r="W7" i="1"/>
  <c r="V15" i="1"/>
  <c r="U127" i="1"/>
  <c r="Q122" i="1"/>
  <c r="Q144" i="1" s="1"/>
  <c r="A13" i="4"/>
  <c r="B12" i="4"/>
  <c r="K12" i="4" s="1"/>
  <c r="R119" i="1"/>
  <c r="S20" i="1"/>
  <c r="R126" i="1"/>
  <c r="S18" i="1"/>
  <c r="R117" i="1"/>
  <c r="X14" i="1"/>
  <c r="X124" i="1" s="1"/>
  <c r="R120" i="1"/>
  <c r="S29" i="1"/>
  <c r="N134" i="1"/>
  <c r="N142" i="1"/>
  <c r="N133" i="1"/>
  <c r="N132" i="1"/>
  <c r="N137" i="1"/>
  <c r="N140" i="1" s="1"/>
  <c r="N115" i="1"/>
  <c r="N2" i="1"/>
  <c r="O1" i="1" s="1"/>
  <c r="O3" i="1" s="1"/>
  <c r="T131" i="1"/>
  <c r="U5" i="1"/>
  <c r="N138" i="1" l="1"/>
  <c r="R122" i="1"/>
  <c r="R144" i="1" s="1"/>
  <c r="O142" i="1"/>
  <c r="O133" i="1"/>
  <c r="O132" i="1"/>
  <c r="O137" i="1"/>
  <c r="O140" i="1" s="1"/>
  <c r="O134" i="1"/>
  <c r="O2" i="1"/>
  <c r="P1" i="1" s="1"/>
  <c r="P3" i="1" s="1"/>
  <c r="O115" i="1"/>
  <c r="A14" i="4"/>
  <c r="B13" i="4"/>
  <c r="K13" i="4" s="1"/>
  <c r="S120" i="1"/>
  <c r="T29" i="1"/>
  <c r="X7" i="1"/>
  <c r="S126" i="1"/>
  <c r="T18" i="1"/>
  <c r="S117" i="1"/>
  <c r="S119" i="1"/>
  <c r="T20" i="1"/>
  <c r="W15" i="1"/>
  <c r="V127" i="1"/>
  <c r="S118" i="1"/>
  <c r="T19" i="1"/>
  <c r="S125" i="1"/>
  <c r="U131" i="1"/>
  <c r="V5" i="1"/>
  <c r="Y14" i="1"/>
  <c r="Y124" i="1" s="1"/>
  <c r="P133" i="1" l="1"/>
  <c r="P132" i="1"/>
  <c r="P137" i="1"/>
  <c r="P140" i="1" s="1"/>
  <c r="P134" i="1"/>
  <c r="P142" i="1"/>
  <c r="P115" i="1"/>
  <c r="P2" i="1"/>
  <c r="Q1" i="1" s="1"/>
  <c r="Q3" i="1" s="1"/>
  <c r="T118" i="1"/>
  <c r="U19" i="1"/>
  <c r="T125" i="1"/>
  <c r="V131" i="1"/>
  <c r="W5" i="1"/>
  <c r="T126" i="1"/>
  <c r="U18" i="1"/>
  <c r="T117" i="1"/>
  <c r="Y7" i="1"/>
  <c r="X15" i="1"/>
  <c r="W127" i="1"/>
  <c r="T119" i="1"/>
  <c r="U20" i="1"/>
  <c r="S122" i="1"/>
  <c r="S144" i="1" s="1"/>
  <c r="Z14" i="1"/>
  <c r="Z124" i="1" s="1"/>
  <c r="T120" i="1"/>
  <c r="U29" i="1"/>
  <c r="A15" i="4"/>
  <c r="B14" i="4"/>
  <c r="K14" i="4" s="1"/>
  <c r="O138" i="1"/>
  <c r="P138" i="1" l="1"/>
  <c r="Q133" i="1"/>
  <c r="Q132" i="1"/>
  <c r="Q137" i="1"/>
  <c r="Q140" i="1" s="1"/>
  <c r="Q115" i="1"/>
  <c r="Q134" i="1"/>
  <c r="Q142" i="1"/>
  <c r="Q2" i="1"/>
  <c r="R1" i="1" s="1"/>
  <c r="R3" i="1" s="1"/>
  <c r="U119" i="1"/>
  <c r="V20" i="1"/>
  <c r="A16" i="4"/>
  <c r="B15" i="4"/>
  <c r="K15" i="4" s="1"/>
  <c r="F14" i="1"/>
  <c r="U118" i="1"/>
  <c r="V19" i="1"/>
  <c r="U125" i="1"/>
  <c r="T122" i="1"/>
  <c r="T144" i="1" s="1"/>
  <c r="W131" i="1"/>
  <c r="X5" i="1"/>
  <c r="U120" i="1"/>
  <c r="V29" i="1"/>
  <c r="Y15" i="1"/>
  <c r="X127" i="1"/>
  <c r="Z7" i="1"/>
  <c r="V18" i="1"/>
  <c r="U126" i="1"/>
  <c r="U117" i="1"/>
  <c r="R133" i="1" l="1"/>
  <c r="R132" i="1"/>
  <c r="R137" i="1"/>
  <c r="R140" i="1" s="1"/>
  <c r="R115" i="1"/>
  <c r="R134" i="1"/>
  <c r="R142" i="1"/>
  <c r="R2" i="1"/>
  <c r="S1" i="1" s="1"/>
  <c r="S3" i="1" s="1"/>
  <c r="A17" i="4"/>
  <c r="B16" i="4"/>
  <c r="K16" i="4" s="1"/>
  <c r="V119" i="1"/>
  <c r="W20" i="1"/>
  <c r="Z15" i="1"/>
  <c r="Y127" i="1"/>
  <c r="V126" i="1"/>
  <c r="W18" i="1"/>
  <c r="V117" i="1"/>
  <c r="F7" i="1"/>
  <c r="V120" i="1"/>
  <c r="W29" i="1"/>
  <c r="X131" i="1"/>
  <c r="Y5" i="1"/>
  <c r="V118" i="1"/>
  <c r="W19" i="1"/>
  <c r="V125" i="1"/>
  <c r="Q138" i="1"/>
  <c r="U122" i="1"/>
  <c r="U144" i="1" s="1"/>
  <c r="V122" i="1" l="1"/>
  <c r="V144" i="1" s="1"/>
  <c r="S132" i="1"/>
  <c r="S137" i="1"/>
  <c r="S140" i="1" s="1"/>
  <c r="S134" i="1"/>
  <c r="S142" i="1"/>
  <c r="S133" i="1"/>
  <c r="S115" i="1"/>
  <c r="S2" i="1"/>
  <c r="T1" i="1" s="1"/>
  <c r="T3" i="1" s="1"/>
  <c r="W119" i="1"/>
  <c r="X20" i="1"/>
  <c r="W118" i="1"/>
  <c r="X19" i="1"/>
  <c r="W125" i="1"/>
  <c r="W126" i="1"/>
  <c r="X18" i="1"/>
  <c r="W117" i="1"/>
  <c r="W120" i="1"/>
  <c r="X29" i="1"/>
  <c r="R138" i="1"/>
  <c r="F15" i="1"/>
  <c r="Z127" i="1"/>
  <c r="A18" i="4"/>
  <c r="B17" i="4"/>
  <c r="K17" i="4" s="1"/>
  <c r="Y131" i="1"/>
  <c r="Z5" i="1"/>
  <c r="T132" i="1" l="1"/>
  <c r="T137" i="1"/>
  <c r="T140" i="1" s="1"/>
  <c r="T134" i="1"/>
  <c r="T142" i="1"/>
  <c r="T133" i="1"/>
  <c r="T115" i="1"/>
  <c r="T2" i="1"/>
  <c r="U1" i="1"/>
  <c r="U3" i="1" s="1"/>
  <c r="X120" i="1"/>
  <c r="Y29" i="1"/>
  <c r="X119" i="1"/>
  <c r="Y20" i="1"/>
  <c r="Z131" i="1"/>
  <c r="F5" i="1"/>
  <c r="A19" i="4"/>
  <c r="B18" i="4"/>
  <c r="K18" i="4" s="1"/>
  <c r="S138" i="1"/>
  <c r="Y19" i="1"/>
  <c r="X118" i="1"/>
  <c r="X125" i="1"/>
  <c r="W122" i="1"/>
  <c r="W144" i="1" s="1"/>
  <c r="X126" i="1"/>
  <c r="Y18" i="1"/>
  <c r="X117" i="1"/>
  <c r="Y119" i="1" l="1"/>
  <c r="Z20" i="1"/>
  <c r="X122" i="1"/>
  <c r="X144" i="1" s="1"/>
  <c r="Y126" i="1"/>
  <c r="Z18" i="1"/>
  <c r="Y117" i="1"/>
  <c r="U132" i="1"/>
  <c r="U137" i="1"/>
  <c r="U140" i="1" s="1"/>
  <c r="U134" i="1"/>
  <c r="U142" i="1"/>
  <c r="U133" i="1"/>
  <c r="U115" i="1"/>
  <c r="U2" i="1"/>
  <c r="V1" i="1" s="1"/>
  <c r="V3" i="1" s="1"/>
  <c r="Z19" i="1"/>
  <c r="Y118" i="1"/>
  <c r="Y125" i="1"/>
  <c r="Y120" i="1"/>
  <c r="Z29" i="1"/>
  <c r="T138" i="1"/>
  <c r="B19" i="4"/>
  <c r="K19" i="4" s="1"/>
  <c r="A20" i="4"/>
  <c r="Y122" i="1" l="1"/>
  <c r="Y144" i="1" s="1"/>
  <c r="U138" i="1"/>
  <c r="V132" i="1"/>
  <c r="V137" i="1"/>
  <c r="V140" i="1" s="1"/>
  <c r="V134" i="1"/>
  <c r="V142" i="1"/>
  <c r="V133" i="1"/>
  <c r="V115" i="1"/>
  <c r="V2" i="1"/>
  <c r="W1" i="1" s="1"/>
  <c r="W3" i="1" s="1"/>
  <c r="F19" i="1"/>
  <c r="Z118" i="1"/>
  <c r="Z125" i="1"/>
  <c r="A21" i="4"/>
  <c r="B20" i="4"/>
  <c r="K20" i="4" s="1"/>
  <c r="Z119" i="1"/>
  <c r="F20" i="1"/>
  <c r="Z126" i="1"/>
  <c r="F18" i="1"/>
  <c r="Z117" i="1"/>
  <c r="Z120" i="1"/>
  <c r="F29" i="1"/>
  <c r="W137" i="1" l="1"/>
  <c r="W140" i="1" s="1"/>
  <c r="W134" i="1"/>
  <c r="W142" i="1"/>
  <c r="W133" i="1"/>
  <c r="W132" i="1"/>
  <c r="W115" i="1"/>
  <c r="W2" i="1"/>
  <c r="X1" i="1"/>
  <c r="X3" i="1" s="1"/>
  <c r="Z122" i="1"/>
  <c r="Z144" i="1" s="1"/>
  <c r="A22" i="4"/>
  <c r="B21" i="4"/>
  <c r="K21" i="4" s="1"/>
  <c r="F1" i="1"/>
  <c r="V138" i="1"/>
  <c r="X137" i="1" l="1"/>
  <c r="X140" i="1" s="1"/>
  <c r="X115" i="1"/>
  <c r="X134" i="1"/>
  <c r="X142" i="1"/>
  <c r="X133" i="1"/>
  <c r="X132" i="1"/>
  <c r="X2" i="1"/>
  <c r="Y1" i="1" s="1"/>
  <c r="Y3" i="1" s="1"/>
  <c r="A23" i="4"/>
  <c r="B22" i="4"/>
  <c r="K22" i="4" s="1"/>
  <c r="W138" i="1"/>
  <c r="Y137" i="1" l="1"/>
  <c r="Y140" i="1" s="1"/>
  <c r="Y134" i="1"/>
  <c r="Y142" i="1"/>
  <c r="Y133" i="1"/>
  <c r="Y132" i="1"/>
  <c r="Y115" i="1"/>
  <c r="Y2" i="1"/>
  <c r="Z1" i="1" s="1"/>
  <c r="A24" i="4"/>
  <c r="B24" i="4" s="1"/>
  <c r="K24" i="4" s="1"/>
  <c r="B23" i="4"/>
  <c r="K23" i="4" s="1"/>
  <c r="X138" i="1"/>
  <c r="F106" i="1" l="1"/>
  <c r="H112" i="1" s="1"/>
  <c r="Z3" i="1"/>
  <c r="Z134" i="1" s="1"/>
  <c r="Y138" i="1"/>
  <c r="I112" i="1" l="1"/>
  <c r="I143" i="1" s="1"/>
  <c r="Z2" i="1"/>
  <c r="Z115" i="1"/>
  <c r="Z132" i="1"/>
  <c r="Z133" i="1"/>
  <c r="Z142" i="1"/>
  <c r="Z138" i="1" l="1"/>
  <c r="J112" i="1"/>
  <c r="J143" i="1" s="1"/>
  <c r="I113" i="1"/>
  <c r="I139" i="1" s="1"/>
  <c r="J113" i="1" l="1"/>
  <c r="J139" i="1" s="1"/>
  <c r="K112" i="1"/>
  <c r="K143" i="1" s="1"/>
  <c r="L112" i="1" l="1"/>
  <c r="L143" i="1" s="1"/>
  <c r="K113" i="1"/>
  <c r="K139" i="1" s="1"/>
  <c r="M112" i="1" l="1"/>
  <c r="N112" i="1" s="1"/>
  <c r="L113" i="1"/>
  <c r="L139" i="1" s="1"/>
  <c r="M113" i="1" l="1"/>
  <c r="M139" i="1" s="1"/>
  <c r="M143" i="1"/>
  <c r="N113" i="1"/>
  <c r="N139" i="1" s="1"/>
  <c r="N143" i="1"/>
  <c r="O112" i="1"/>
  <c r="O143" i="1" l="1"/>
  <c r="O113" i="1"/>
  <c r="O139" i="1" s="1"/>
  <c r="P112" i="1"/>
  <c r="Q112" i="1" l="1"/>
  <c r="P143" i="1"/>
  <c r="P113" i="1"/>
  <c r="P139" i="1" s="1"/>
  <c r="Q143" i="1" l="1"/>
  <c r="R112" i="1"/>
  <c r="Q113" i="1"/>
  <c r="Q139" i="1" s="1"/>
  <c r="R143" i="1" l="1"/>
  <c r="S112" i="1"/>
  <c r="R113" i="1"/>
  <c r="R139" i="1" s="1"/>
  <c r="S143" i="1" l="1"/>
  <c r="T112" i="1"/>
  <c r="S113" i="1"/>
  <c r="S139" i="1" s="1"/>
  <c r="T143" i="1" l="1"/>
  <c r="T113" i="1"/>
  <c r="T139" i="1" s="1"/>
  <c r="U112" i="1"/>
  <c r="U143" i="1" l="1"/>
  <c r="U113" i="1"/>
  <c r="U139" i="1" s="1"/>
  <c r="V112" i="1"/>
  <c r="V143" i="1" l="1"/>
  <c r="W112" i="1"/>
  <c r="V113" i="1"/>
  <c r="V139" i="1" s="1"/>
  <c r="W143" i="1" l="1"/>
  <c r="X112" i="1"/>
  <c r="W113" i="1"/>
  <c r="W139" i="1" s="1"/>
  <c r="X143" i="1" l="1"/>
  <c r="Y112" i="1"/>
  <c r="X113" i="1"/>
  <c r="X139" i="1" s="1"/>
  <c r="Y143" i="1" l="1"/>
  <c r="Z112" i="1"/>
  <c r="Y113" i="1"/>
  <c r="Y139" i="1" s="1"/>
  <c r="Z143" i="1" l="1"/>
  <c r="Z113" i="1"/>
  <c r="Z139" i="1" s="1"/>
  <c r="C146" i="1" l="1"/>
  <c r="C145" i="1" l="1"/>
  <c r="C144" i="1"/>
  <c r="H146" i="1" s="1"/>
  <c r="N145" i="1" s="1"/>
  <c r="I145" i="1"/>
  <c r="J145" i="1"/>
  <c r="L145" i="1"/>
  <c r="O145" i="1"/>
  <c r="K145" i="1"/>
  <c r="M145" i="1"/>
  <c r="Q145" i="1" l="1"/>
  <c r="S145" i="1"/>
  <c r="W145" i="1"/>
  <c r="V145" i="1"/>
  <c r="U145" i="1"/>
  <c r="T145" i="1"/>
  <c r="R145" i="1"/>
  <c r="P145" i="1"/>
  <c r="Y145" i="1"/>
  <c r="Z145" i="1"/>
  <c r="X145" i="1"/>
</calcChain>
</file>

<file path=xl/sharedStrings.xml><?xml version="1.0" encoding="utf-8"?>
<sst xmlns="http://schemas.openxmlformats.org/spreadsheetml/2006/main" count="123" uniqueCount="101">
  <si>
    <t>Today</t>
  </si>
  <si>
    <t>Copy this doc and follow the link below for instructions.</t>
  </si>
  <si>
    <r>
      <t xml:space="preserve">This doc is: </t>
    </r>
    <r>
      <rPr>
        <sz val="10"/>
        <color rgb="FF1155CC"/>
        <rFont val="Arial"/>
      </rPr>
      <t>http://book.prototools.net/r/BDC_Instructions</t>
    </r>
  </si>
  <si>
    <t>http://book.prototools.net/r/BDC_Instructions</t>
  </si>
  <si>
    <t>Hours</t>
  </si>
  <si>
    <t>Rank</t>
  </si>
  <si>
    <t>Task</t>
  </si>
  <si>
    <t>Assn</t>
  </si>
  <si>
    <t>Est.</t>
  </si>
  <si>
    <t>Total</t>
  </si>
  <si>
    <t>Rem.</t>
  </si>
  <si>
    <t xml:space="preserve"> </t>
  </si>
  <si>
    <t>Detailed Information</t>
  </si>
  <si>
    <t>Task Assignments</t>
  </si>
  <si>
    <t>-- Mechanics Physics --</t>
  </si>
  <si>
    <t>A</t>
  </si>
  <si>
    <t xml:space="preserve"> – Help with Jumping</t>
  </si>
  <si>
    <t>Force</t>
  </si>
  <si>
    <t>Grabbing</t>
  </si>
  <si>
    <t>Collision Implementation</t>
  </si>
  <si>
    <t>-- Camera --</t>
  </si>
  <si>
    <t>-- Art --</t>
  </si>
  <si>
    <t>-- Gameplay &amp; Scoring --</t>
  </si>
  <si>
    <t>Time Limit</t>
  </si>
  <si>
    <t>-- AI Behavior --</t>
  </si>
  <si>
    <t>Sprint Settings – Only change cells with dark gray borders</t>
  </si>
  <si>
    <t>Workdays</t>
  </si>
  <si>
    <t>Start Date</t>
  </si>
  <si>
    <t>Sun</t>
  </si>
  <si>
    <t>End Date</t>
  </si>
  <si>
    <t>Mon</t>
  </si>
  <si>
    <t>Tue</t>
  </si>
  <si>
    <t>Total Days</t>
  </si>
  <si>
    <t>Wed</t>
  </si>
  <si>
    <t>Work Days</t>
  </si>
  <si>
    <t>Thu</t>
  </si>
  <si>
    <t>Fri</t>
  </si>
  <si>
    <t>All</t>
  </si>
  <si>
    <t>ALL</t>
  </si>
  <si>
    <t>Sat</t>
  </si>
  <si>
    <t>Unassigned</t>
  </si>
  <si>
    <t>Days to Look Back for Burndown Velocity</t>
  </si>
  <si>
    <t>Interpreted Data – DO NOT CHANGE ANYTHING HERE</t>
  </si>
  <si>
    <t>Current Hours Remaining</t>
  </si>
  <si>
    <t>Days</t>
  </si>
  <si>
    <t>On-Track Line</t>
  </si>
  <si>
    <t>Sum</t>
  </si>
  <si>
    <t>Rank (and not reduced to 0 after today)</t>
  </si>
  <si>
    <t>Rank 1 - The MOST important</t>
  </si>
  <si>
    <t>Rank 1</t>
  </si>
  <si>
    <t>Rank 2</t>
  </si>
  <si>
    <t>Rank 3</t>
  </si>
  <si>
    <t>Rank 4</t>
  </si>
  <si>
    <t>Rank 5 - The LEAST important</t>
  </si>
  <si>
    <t>Rank 5</t>
  </si>
  <si>
    <t>Team</t>
  </si>
  <si>
    <t>Average Assigned</t>
  </si>
  <si>
    <t>Total Hours</t>
  </si>
  <si>
    <t>Hours 2 Days Ago</t>
  </si>
  <si>
    <t>Hours Today</t>
  </si>
  <si>
    <t>Burndown Velocity Line</t>
  </si>
  <si>
    <t>BDV</t>
  </si>
  <si>
    <t>Team Members</t>
  </si>
  <si>
    <t>Daily</t>
  </si>
  <si>
    <t>Dates</t>
  </si>
  <si>
    <t>Template</t>
  </si>
  <si>
    <t>Workday</t>
  </si>
  <si>
    <r>
      <rPr>
        <b/>
        <sz val="10"/>
        <rFont val="Arial"/>
      </rPr>
      <t>Yesterday</t>
    </r>
    <r>
      <rPr>
        <sz val="10"/>
        <color rgb="FF000000"/>
        <rFont val="Arial"/>
      </rPr>
      <t xml:space="preserve">: Project Kickoff
</t>
    </r>
    <r>
      <rPr>
        <b/>
        <sz val="10"/>
        <rFont val="Arial"/>
      </rPr>
      <t>Today</t>
    </r>
    <r>
      <rPr>
        <sz val="10"/>
        <color rgb="FF000000"/>
        <rFont val="Arial"/>
      </rPr>
      <t xml:space="preserve">: Acceleration
</t>
    </r>
    <r>
      <rPr>
        <b/>
        <sz val="10"/>
        <color rgb="FFFF0000"/>
        <rFont val="Arial"/>
      </rPr>
      <t>Help</t>
    </r>
    <r>
      <rPr>
        <sz val="10"/>
        <color rgb="FFFF0000"/>
        <rFont val="Arial"/>
      </rPr>
      <t>: – Nothing now</t>
    </r>
  </si>
  <si>
    <r>
      <rPr>
        <b/>
        <sz val="10"/>
        <rFont val="Arial"/>
      </rPr>
      <t>Yesterday</t>
    </r>
    <r>
      <rPr>
        <sz val="10"/>
        <color rgb="FF000000"/>
        <rFont val="Arial"/>
      </rPr>
      <t xml:space="preserve">: Project Kickoff
</t>
    </r>
    <r>
      <rPr>
        <b/>
        <sz val="10"/>
        <rFont val="Arial"/>
      </rPr>
      <t>Today</t>
    </r>
    <r>
      <rPr>
        <sz val="10"/>
        <color rgb="FF000000"/>
        <rFont val="Arial"/>
      </rPr>
      <t xml:space="preserve">: Collisions
</t>
    </r>
    <r>
      <rPr>
        <b/>
        <sz val="10"/>
        <color rgb="FFFF0000"/>
        <rFont val="Arial"/>
      </rPr>
      <t>Help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</si>
  <si>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Yesterday</t>
    </r>
    <r>
      <rPr>
        <sz val="10"/>
        <color rgb="FF000000"/>
        <rFont val="Arial"/>
      </rPr>
      <t xml:space="preserve">: Project Kickoff
</t>
    </r>
    <r>
      <rPr>
        <b/>
        <sz val="10"/>
        <rFont val="Arial"/>
      </rPr>
      <t>Today</t>
    </r>
    <r>
      <rPr>
        <sz val="10"/>
        <color rgb="FF000000"/>
        <rFont val="Arial"/>
      </rPr>
      <t xml:space="preserve">: </t>
    </r>
    <r>
      <rPr>
        <b/>
        <sz val="10"/>
        <rFont val="Arial"/>
      </rPr>
      <t>Out of town until 12/13</t>
    </r>
    <r>
      <rPr>
        <sz val="10"/>
        <color rgb="FF000000"/>
        <rFont val="Arial"/>
      </rPr>
      <t xml:space="preserve">
</t>
    </r>
    <r>
      <rPr>
        <b/>
        <sz val="10"/>
        <color rgb="FFFF0000"/>
        <rFont val="Arial"/>
      </rPr>
      <t>Help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</si>
  <si>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Yesterday</t>
    </r>
    <r>
      <rPr>
        <sz val="10"/>
        <color rgb="FF000000"/>
        <rFont val="Arial"/>
      </rPr>
      <t xml:space="preserve">: Project Kickoff
</t>
    </r>
    <r>
      <rPr>
        <b/>
        <sz val="10"/>
        <rFont val="Arial"/>
      </rPr>
      <t>Today</t>
    </r>
    <r>
      <rPr>
        <sz val="10"/>
        <color rgb="FF000000"/>
        <rFont val="Arial"/>
      </rPr>
      <t xml:space="preserve">: No time today
</t>
    </r>
    <r>
      <rPr>
        <b/>
        <sz val="10"/>
        <color rgb="FFFF0000"/>
        <rFont val="Arial"/>
      </rPr>
      <t>Help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</si>
  <si>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–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</si>
  <si>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Tried something for the torque curve that didn't work. That's two hours I won't get back. :/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More work on Acceleration.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I now feel further from the solution for acceleration. I could use some help.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</si>
  <si>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Some work on collisions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More collisions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</si>
  <si>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Still out of town. Call if you need anything (555) 867-5309.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</si>
  <si>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Follow cam (delayed car angling tracking thing)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</si>
  <si>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Realized the torque curve of Acceleration is a bigger task than I thought.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More Acceleration work.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</si>
  <si>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Collisions halfway done now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I have time to help Archon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</si>
  <si>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–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</si>
  <si>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(Fri) Got help from Hannah with acceleration. Now much closer to done! (Sun) Also worked an hour on acceleration this weekend. I need a break.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–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</si>
  <si>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Didn't do any of my work because Acceleration issues took all my time.
</t>
    </r>
    <r>
      <rPr>
        <b/>
        <sz val="10"/>
        <rFont val="Arial"/>
      </rPr>
      <t>T: Out for the next three days</t>
    </r>
    <r>
      <rPr>
        <sz val="10"/>
        <color rgb="FF000000"/>
        <rFont val="Arial"/>
      </rPr>
      <t xml:space="preserve">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</si>
  <si>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Back tomorrow.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</si>
  <si>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Worked on Speed.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Back to accel; hopefully finishing.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</si>
  <si>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Finally back! Working on Point System.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If someone could help get me back up to speed, I'd appreciate it.</t>
    </r>
  </si>
  <si>
    <r>
      <rPr>
        <b/>
        <sz val="10"/>
        <rFont val="Arial"/>
      </rPr>
      <t>Y</t>
    </r>
    <r>
      <rPr>
        <sz val="10"/>
        <color rgb="FF000000"/>
        <rFont val="Arial"/>
      </rPr>
      <t xml:space="preserve">: –
</t>
    </r>
    <r>
      <rPr>
        <b/>
        <sz val="10"/>
        <rFont val="Arial"/>
      </rPr>
      <t>T</t>
    </r>
    <r>
      <rPr>
        <sz val="10"/>
        <color rgb="FF000000"/>
        <rFont val="Arial"/>
      </rPr>
      <t xml:space="preserve">: Risky driving system
</t>
    </r>
    <r>
      <rPr>
        <b/>
        <sz val="10"/>
        <color rgb="FFFF0000"/>
        <rFont val="Arial"/>
      </rPr>
      <t>H</t>
    </r>
    <r>
      <rPr>
        <sz val="10"/>
        <color rgb="FFFF0000"/>
        <rFont val="Arial"/>
      </rPr>
      <t>: –</t>
    </r>
  </si>
  <si>
    <t>Jumping</t>
  </si>
  <si>
    <t>Gravity</t>
  </si>
  <si>
    <t>Delayed Jump when bigger</t>
  </si>
  <si>
    <t>Zoom in when intense</t>
  </si>
  <si>
    <t>Player Models</t>
  </si>
  <si>
    <t>multiple Clothes cosmetics for player</t>
  </si>
  <si>
    <t>custom gear</t>
  </si>
  <si>
    <t>AI Shopkeeper</t>
  </si>
  <si>
    <t>lose XP when Fail</t>
  </si>
  <si>
    <t>gain XP when Succses</t>
  </si>
  <si>
    <t>limb System</t>
  </si>
  <si>
    <t>Chris</t>
  </si>
  <si>
    <t>Padraic</t>
  </si>
  <si>
    <t>Adam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</si>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</sst>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d"/>
  </numFmts>
  <fonts count="24" x14ac:knownFonts="1">
    <font>
      <sz val="10"/>
      <color rgb="FF000000"/>
      <name val="Arial"/>
    </font>
    <font>
      <b/>
      <sz val="8"/>
      <name val="Arial"/>
    </font>
    <font>
      <b/>
      <sz val="10"/>
      <name val="Arial"/>
    </font>
    <font>
      <sz val="8"/>
      <color rgb="FF999999"/>
      <name val="Arial"/>
    </font>
    <font>
      <b/>
      <sz val="8"/>
      <color rgb="FFFF0000"/>
      <name val="Arial"/>
    </font>
    <font>
      <sz val="10"/>
      <name val="Arial"/>
    </font>
    <font>
      <sz val="6"/>
      <name val="Arial"/>
    </font>
    <font>
      <sz val="6"/>
      <name val="Arial"/>
    </font>
    <font>
      <sz val="10"/>
      <color rgb="FF0000FF"/>
      <name val="Arial"/>
    </font>
    <font>
      <b/>
      <sz val="10"/>
      <color rgb="FF1155CC"/>
      <name val="Arial"/>
    </font>
    <font>
      <b/>
      <sz val="10"/>
      <color rgb="FF999999"/>
      <name val="Arial"/>
    </font>
    <font>
      <b/>
      <sz val="10"/>
      <name val="Arial"/>
    </font>
    <font>
      <i/>
      <sz val="9"/>
      <name val="Arial"/>
    </font>
    <font>
      <b/>
      <sz val="10"/>
      <color rgb="FFFF0000"/>
      <name val="Arial"/>
    </font>
    <font>
      <sz val="10"/>
      <color rgb="FFCCCCCC"/>
      <name val="Arial"/>
    </font>
    <font>
      <b/>
      <sz val="10"/>
      <name val="Arial"/>
    </font>
    <font>
      <b/>
      <sz val="10"/>
      <color rgb="FF000000"/>
      <name val="Arial"/>
    </font>
    <font>
      <sz val="10"/>
      <color rgb="FFD9D9D9"/>
      <name val="Arial"/>
    </font>
    <font>
      <sz val="10"/>
      <color rgb="FF000000"/>
      <name val="Inconsolata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3F3F3"/>
      <name val="Arial"/>
    </font>
    <font>
      <sz val="10"/>
      <color rgb="FF1155CC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E67C73"/>
        <bgColor rgb="FFE67C73"/>
      </patternFill>
    </fill>
    <fill>
      <patternFill patternType="solid">
        <fgColor rgb="FFFFD666"/>
        <bgColor rgb="FFFFD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0" xfId="0" applyFont="1" applyFill="1"/>
    <xf numFmtId="164" fontId="2" fillId="3" borderId="0" xfId="0" applyNumberFormat="1" applyFont="1" applyFill="1" applyAlignment="1">
      <alignment horizontal="center" vertical="top"/>
    </xf>
    <xf numFmtId="0" fontId="9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10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11" fillId="2" borderId="0" xfId="0" applyFont="1" applyFill="1" applyAlignment="1">
      <alignment horizontal="center" vertical="top"/>
    </xf>
    <xf numFmtId="0" fontId="12" fillId="3" borderId="0" xfId="0" applyFont="1" applyFill="1" applyAlignment="1">
      <alignment horizontal="right" vertical="top"/>
    </xf>
    <xf numFmtId="0" fontId="2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5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5" fillId="4" borderId="0" xfId="0" applyFont="1" applyFill="1" applyAlignment="1">
      <alignment vertical="top"/>
    </xf>
    <xf numFmtId="0" fontId="14" fillId="4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top"/>
    </xf>
    <xf numFmtId="0" fontId="16" fillId="0" borderId="1" xfId="0" applyFont="1" applyBorder="1" applyAlignment="1">
      <alignment wrapText="1"/>
    </xf>
    <xf numFmtId="0" fontId="2" fillId="4" borderId="0" xfId="0" applyFont="1" applyFill="1" applyAlignment="1">
      <alignment horizontal="left" vertical="top"/>
    </xf>
    <xf numFmtId="0" fontId="5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9" fillId="0" borderId="1" xfId="0" applyFont="1" applyBorder="1" applyAlignment="1">
      <alignment horizontal="center"/>
    </xf>
    <xf numFmtId="0" fontId="17" fillId="0" borderId="0" xfId="0" applyFont="1"/>
    <xf numFmtId="0" fontId="5" fillId="0" borderId="0" xfId="0" applyFont="1" applyAlignment="1">
      <alignment horizontal="right"/>
    </xf>
    <xf numFmtId="0" fontId="18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1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164" fontId="21" fillId="0" borderId="0" xfId="0" applyNumberFormat="1" applyFont="1" applyAlignment="1">
      <alignment vertical="top"/>
    </xf>
    <xf numFmtId="0" fontId="21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14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8" borderId="0" xfId="0" applyFont="1" applyFill="1" applyAlignment="1">
      <alignment horizontal="center" vertical="top"/>
    </xf>
    <xf numFmtId="0" fontId="14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23">
    <dxf>
      <fill>
        <patternFill patternType="solid">
          <fgColor rgb="FFEFEFEF"/>
          <bgColor rgb="FFEFEFEF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7C3"/>
          <bgColor rgb="FFF4C7C3"/>
        </patternFill>
      </fill>
    </dxf>
    <dxf>
      <font>
        <b/>
        <color rgb="FFC53929"/>
      </font>
      <fill>
        <patternFill patternType="solid">
          <fgColor rgb="FFD9EAD3"/>
          <bgColor rgb="FFD9EAD3"/>
        </patternFill>
      </fill>
    </dxf>
    <dxf>
      <font>
        <color rgb="FFB7B7B7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color rgb="FFC53929"/>
      </font>
      <fill>
        <patternFill patternType="solid">
          <fgColor rgb="FF9FC5E8"/>
          <bgColor rgb="FF9FC5E8"/>
        </patternFill>
      </fill>
    </dxf>
    <dxf>
      <font>
        <b/>
        <color rgb="FFC53929"/>
      </font>
      <fill>
        <patternFill patternType="solid">
          <fgColor rgb="FFD9EAD3"/>
          <bgColor rgb="FFD9EAD3"/>
        </patternFill>
      </fill>
    </dxf>
    <dxf>
      <font>
        <color rgb="FFB7B7B7"/>
      </font>
      <fill>
        <patternFill patternType="none"/>
      </fill>
    </dxf>
    <dxf>
      <font>
        <color rgb="FFCCCCCC"/>
      </font>
      <fill>
        <patternFill patternType="none"/>
      </fill>
    </dxf>
    <dxf>
      <font>
        <color rgb="FFD9D9D9"/>
      </font>
      <fill>
        <patternFill patternType="none"/>
      </fill>
    </dxf>
    <dxf>
      <fill>
        <patternFill patternType="solid">
          <fgColor rgb="FFF4C7C3"/>
          <bgColor rgb="FFF4C7C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C53929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999999"/>
      </font>
      <fill>
        <patternFill patternType="none"/>
      </fill>
    </dxf>
    <dxf>
      <font>
        <b/>
        <i/>
        <color rgb="FFFFFFFF"/>
      </font>
      <fill>
        <patternFill patternType="solid">
          <fgColor rgb="FF666666"/>
          <bgColor rgb="FF666666"/>
        </patternFill>
      </fill>
    </dxf>
    <dxf>
      <font>
        <b/>
        <i/>
        <color rgb="FFFFFFFF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EFEFEF"/>
          <bgColor rgb="FFEFEFEF"/>
        </patternFill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ont>
        <color rgb="FFB7B7B7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000000"/>
                </a:solidFill>
                <a:latin typeface="Roboto"/>
              </a:defRPr>
            </a:pPr>
            <a:r>
              <a:rPr lang="en-GB" sz="1800" b="1">
                <a:solidFill>
                  <a:srgbClr val="000000"/>
                </a:solidFill>
                <a:latin typeface="Roboto"/>
              </a:rPr>
              <a:t>Burndown Chart by Rank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Main!$G$4</c:f>
              <c:strCache>
                <c:ptCount val="1"/>
              </c:strCache>
            </c:strRef>
          </c:tx>
          <c:spPr>
            <a:solidFill>
              <a:srgbClr val="DC3912">
                <a:alpha val="30000"/>
              </a:srgbClr>
            </a:solidFill>
            <a:ln w="19050" cmpd="sng">
              <a:solidFill>
                <a:srgbClr val="DC3912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Main!$H$4:$Z$4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30CF-43CC-941F-8B70FD691DF1}"/>
            </c:ext>
          </c:extLst>
        </c:ser>
        <c:ser>
          <c:idx val="1"/>
          <c:order val="1"/>
          <c:tx>
            <c:strRef>
              <c:f>Main!$G$117</c:f>
              <c:strCache>
                <c:ptCount val="1"/>
                <c:pt idx="0">
                  <c:v>Rank 1</c:v>
                </c:pt>
              </c:strCache>
            </c:strRef>
          </c:tx>
          <c:spPr>
            <a:solidFill>
              <a:srgbClr val="FF9900">
                <a:alpha val="30000"/>
              </a:srgbClr>
            </a:solidFill>
            <a:ln w="19050" cmpd="sng">
              <a:solidFill>
                <a:srgbClr val="FF9900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Main!$H$117:$Z$117</c:f>
              <c:numCache>
                <c:formatCode>General</c:formatCode>
                <c:ptCount val="19"/>
                <c:pt idx="0">
                  <c:v>25</c:v>
                </c:pt>
                <c:pt idx="1">
                  <c:v>21</c:v>
                </c:pt>
                <c:pt idx="2">
                  <c:v>21</c:v>
                </c:pt>
                <c:pt idx="3">
                  <c:v>15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F-43CC-941F-8B70FD691DF1}"/>
            </c:ext>
          </c:extLst>
        </c:ser>
        <c:ser>
          <c:idx val="2"/>
          <c:order val="2"/>
          <c:tx>
            <c:strRef>
              <c:f>Main!$G$118</c:f>
              <c:strCache>
                <c:ptCount val="1"/>
                <c:pt idx="0">
                  <c:v>Rank 2</c:v>
                </c:pt>
              </c:strCache>
            </c:strRef>
          </c:tx>
          <c:spPr>
            <a:solidFill>
              <a:srgbClr val="109618">
                <a:alpha val="30000"/>
              </a:srgbClr>
            </a:solidFill>
            <a:ln w="19050" cmpd="sng">
              <a:solidFill>
                <a:srgbClr val="109618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Main!$H$118:$Z$118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F-43CC-941F-8B70FD691DF1}"/>
            </c:ext>
          </c:extLst>
        </c:ser>
        <c:ser>
          <c:idx val="3"/>
          <c:order val="3"/>
          <c:tx>
            <c:strRef>
              <c:f>Main!$G$119</c:f>
              <c:strCache>
                <c:ptCount val="1"/>
                <c:pt idx="0">
                  <c:v>Rank 3</c:v>
                </c:pt>
              </c:strCache>
            </c:strRef>
          </c:tx>
          <c:spPr>
            <a:solidFill>
              <a:srgbClr val="990099">
                <a:alpha val="30000"/>
              </a:srgbClr>
            </a:solidFill>
            <a:ln w="19050" cmpd="sng">
              <a:solidFill>
                <a:srgbClr val="990099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Main!$H$119:$Z$119</c:f>
              <c:numCache>
                <c:formatCode>General</c:formatCode>
                <c:ptCount val="1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CF-43CC-941F-8B70FD691DF1}"/>
            </c:ext>
          </c:extLst>
        </c:ser>
        <c:ser>
          <c:idx val="4"/>
          <c:order val="4"/>
          <c:tx>
            <c:strRef>
              <c:f>Main!$G$120</c:f>
              <c:strCache>
                <c:ptCount val="1"/>
                <c:pt idx="0">
                  <c:v>Rank 4</c:v>
                </c:pt>
              </c:strCache>
            </c:strRef>
          </c:tx>
          <c:spPr>
            <a:solidFill>
              <a:srgbClr val="0099C6">
                <a:alpha val="30000"/>
              </a:srgbClr>
            </a:solidFill>
            <a:ln w="19050" cmpd="sng">
              <a:solidFill>
                <a:srgbClr val="0099C6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Main!$H$120:$Z$120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CF-43CC-941F-8B70FD69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2259"/>
        <c:axId val="76235145"/>
      </c:areaChart>
      <c:lineChart>
        <c:grouping val="standard"/>
        <c:varyColors val="1"/>
        <c:ser>
          <c:idx val="5"/>
          <c:order val="5"/>
          <c:tx>
            <c:strRef>
              <c:f>Main!$G$121</c:f>
              <c:strCache>
                <c:ptCount val="1"/>
                <c:pt idx="0">
                  <c:v>Rank 5</c:v>
                </c:pt>
              </c:strCache>
            </c:strRef>
          </c:tx>
          <c:spPr>
            <a:ln w="19050"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Main!$H$121:$Z$121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CF-43CC-941F-8B70FD691DF1}"/>
            </c:ext>
          </c:extLst>
        </c:ser>
        <c:ser>
          <c:idx val="6"/>
          <c:order val="6"/>
          <c:tx>
            <c:strRef>
              <c:f>Main!$G$122</c:f>
              <c:strCache>
                <c:ptCount val="1"/>
                <c:pt idx="0">
                  <c:v>Sum</c:v>
                </c:pt>
              </c:strCache>
            </c:strRef>
          </c:tx>
          <c:spPr>
            <a:ln w="19050"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Main!$H$122:$Z$122</c:f>
              <c:numCache>
                <c:formatCode>General</c:formatCode>
                <c:ptCount val="19"/>
                <c:pt idx="0">
                  <c:v>39</c:v>
                </c:pt>
                <c:pt idx="1">
                  <c:v>35</c:v>
                </c:pt>
                <c:pt idx="2">
                  <c:v>33</c:v>
                </c:pt>
                <c:pt idx="3">
                  <c:v>26</c:v>
                </c:pt>
                <c:pt idx="4">
                  <c:v>23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CF-43CC-941F-8B70FD69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2259"/>
        <c:axId val="76235145"/>
      </c:lineChart>
      <c:catAx>
        <c:axId val="49372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sz="1400" b="1">
                    <a:solidFill>
                      <a:srgbClr val="000000"/>
                    </a:solidFill>
                    <a:latin typeface="Roboto"/>
                  </a:rPr>
                  <a:t>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76235145"/>
        <c:crosses val="autoZero"/>
        <c:auto val="1"/>
        <c:lblAlgn val="ctr"/>
        <c:lblOffset val="100"/>
        <c:noMultiLvlLbl val="1"/>
      </c:catAx>
      <c:valAx>
        <c:axId val="76235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sz="1400" b="1">
                    <a:solidFill>
                      <a:srgbClr val="000000"/>
                    </a:solidFill>
                    <a:latin typeface="Roboto"/>
                  </a:rPr>
                  <a:t>Hours Remaining on Tasks by Rank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9372259"/>
        <c:crosses val="autoZero"/>
        <c:crossBetween val="between"/>
      </c:valAx>
    </c:plotArea>
    <c:legend>
      <c:legendPos val="t"/>
      <c:legendEntry>
        <c:idx val="0"/>
        <c:delete val="1"/>
      </c:legendEntry>
      <c:overlay val="0"/>
      <c:txPr>
        <a:bodyPr/>
        <a:lstStyle/>
        <a:p>
          <a:pPr lvl="0">
            <a:defRPr sz="1400" b="1">
              <a:solidFill>
                <a:srgbClr val="222222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000000"/>
                </a:solidFill>
                <a:latin typeface="Roboto"/>
              </a:defRPr>
            </a:pPr>
            <a:r>
              <a:rPr lang="en-GB" sz="1800" b="1">
                <a:solidFill>
                  <a:srgbClr val="000000"/>
                </a:solidFill>
                <a:latin typeface="Roboto"/>
              </a:rPr>
              <a:t>Burndown Chart by Person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8"/>
          <c:order val="8"/>
          <c:tx>
            <c:strRef>
              <c:f>Main!$G$131</c:f>
              <c:strCache>
                <c:ptCount val="1"/>
                <c:pt idx="0">
                  <c:v>Unassigned</c:v>
                </c:pt>
              </c:strCache>
            </c:strRef>
          </c:tx>
          <c:spPr>
            <a:solidFill>
              <a:srgbClr val="000000">
                <a:alpha val="12000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Main!$H$131:$Z$131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6-4DFD-9E68-00E664C9E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769435"/>
        <c:axId val="681102935"/>
      </c:areaChart>
      <c:lineChart>
        <c:grouping val="standard"/>
        <c:varyColors val="1"/>
        <c:ser>
          <c:idx val="0"/>
          <c:order val="0"/>
          <c:tx>
            <c:strRef>
              <c:f>Main!$G$4</c:f>
              <c:strCache>
                <c:ptCount val="1"/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Main!$H$4:$Z$4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6-4DFD-9E68-00E664C9EC5E}"/>
            </c:ext>
          </c:extLst>
        </c:ser>
        <c:ser>
          <c:idx val="1"/>
          <c:order val="1"/>
          <c:tx>
            <c:strRef>
              <c:f>Main!$G$124</c:f>
              <c:strCache>
                <c:ptCount val="1"/>
                <c:pt idx="0">
                  <c:v>Adam</c:v>
                </c:pt>
              </c:strCache>
            </c:strRef>
          </c:tx>
          <c:spPr>
            <a:ln w="19050"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Main!$H$124:$Z$124</c:f>
              <c:numCache>
                <c:formatCode>General</c:formatCode>
                <c:ptCount val="19"/>
                <c:pt idx="0">
                  <c:v>13</c:v>
                </c:pt>
                <c:pt idx="1">
                  <c:v>10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96-4DFD-9E68-00E664C9EC5E}"/>
            </c:ext>
          </c:extLst>
        </c:ser>
        <c:ser>
          <c:idx val="2"/>
          <c:order val="2"/>
          <c:tx>
            <c:strRef>
              <c:f>Main!$G$125</c:f>
              <c:strCache>
                <c:ptCount val="1"/>
                <c:pt idx="0">
                  <c:v>Padraic</c:v>
                </c:pt>
              </c:strCache>
            </c:strRef>
          </c:tx>
          <c:spPr>
            <a:ln w="19050"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Main!$H$125:$Z$125</c:f>
              <c:numCache>
                <c:formatCode>General</c:formatCode>
                <c:ptCount val="19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96-4DFD-9E68-00E664C9EC5E}"/>
            </c:ext>
          </c:extLst>
        </c:ser>
        <c:ser>
          <c:idx val="3"/>
          <c:order val="3"/>
          <c:tx>
            <c:strRef>
              <c:f>Main!$G$126</c:f>
              <c:strCache>
                <c:ptCount val="1"/>
                <c:pt idx="0">
                  <c:v>Chris</c:v>
                </c:pt>
              </c:strCache>
            </c:strRef>
          </c:tx>
          <c:spPr>
            <a:ln w="19050"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Main!$H$126:$Z$126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96-4DFD-9E68-00E664C9EC5E}"/>
            </c:ext>
          </c:extLst>
        </c:ser>
        <c:ser>
          <c:idx val="4"/>
          <c:order val="4"/>
          <c:tx>
            <c:strRef>
              <c:f>Main!$G$127</c:f>
              <c:strCache>
                <c:ptCount val="1"/>
                <c:pt idx="0">
                  <c:v>0</c:v>
                </c:pt>
              </c:strCache>
            </c:strRef>
          </c:tx>
          <c:spPr>
            <a:ln w="19050"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Main!$H$127:$Z$127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96-4DFD-9E68-00E664C9EC5E}"/>
            </c:ext>
          </c:extLst>
        </c:ser>
        <c:ser>
          <c:idx val="5"/>
          <c:order val="5"/>
          <c:tx>
            <c:strRef>
              <c:f>Main!$G$128</c:f>
              <c:strCache>
                <c:ptCount val="1"/>
                <c:pt idx="0">
                  <c:v>0</c:v>
                </c:pt>
              </c:strCache>
            </c:strRef>
          </c:tx>
          <c:spPr>
            <a:ln w="19050" cmpd="sng">
              <a:solidFill>
                <a:srgbClr val="DD4477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Main!$H$128:$Z$128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96-4DFD-9E68-00E664C9EC5E}"/>
            </c:ext>
          </c:extLst>
        </c:ser>
        <c:ser>
          <c:idx val="6"/>
          <c:order val="6"/>
          <c:tx>
            <c:strRef>
              <c:f>Main!$G$129</c:f>
              <c:strCache>
                <c:ptCount val="1"/>
                <c:pt idx="0">
                  <c:v>0</c:v>
                </c:pt>
              </c:strCache>
            </c:strRef>
          </c:tx>
          <c:spPr>
            <a:ln w="19050" cmpd="sng">
              <a:solidFill>
                <a:srgbClr val="FFD966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Main!$H$129:$Z$129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96-4DFD-9E68-00E664C9EC5E}"/>
            </c:ext>
          </c:extLst>
        </c:ser>
        <c:ser>
          <c:idx val="7"/>
          <c:order val="7"/>
          <c:tx>
            <c:strRef>
              <c:f>Main!$G$130</c:f>
              <c:strCache>
                <c:ptCount val="1"/>
                <c:pt idx="0">
                  <c:v>ALL</c:v>
                </c:pt>
              </c:strCache>
            </c:strRef>
          </c:tx>
          <c:spPr>
            <a:ln w="19050" cmpd="sng">
              <a:solidFill>
                <a:srgbClr val="D9D9D9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Main!$H$130:$Z$130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96-4DFD-9E68-00E664C9EC5E}"/>
            </c:ext>
          </c:extLst>
        </c:ser>
        <c:ser>
          <c:idx val="9"/>
          <c:order val="9"/>
          <c:tx>
            <c:strRef>
              <c:f>Main!$G$138</c:f>
              <c:strCache>
                <c:ptCount val="1"/>
                <c:pt idx="0">
                  <c:v>Average Assigned</c:v>
                </c:pt>
              </c:strCache>
            </c:strRef>
          </c:tx>
          <c:spPr>
            <a:ln w="19050"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Main!$H$138:$Z$138</c:f>
              <c:numCache>
                <c:formatCode>General</c:formatCode>
                <c:ptCount val="19"/>
                <c:pt idx="0">
                  <c:v>6.5</c:v>
                </c:pt>
                <c:pt idx="1">
                  <c:v>5.833333333333333</c:v>
                </c:pt>
                <c:pt idx="2">
                  <c:v>5.5</c:v>
                </c:pt>
                <c:pt idx="3">
                  <c:v>4.333333333333333</c:v>
                </c:pt>
                <c:pt idx="4">
                  <c:v>3.8333333333333335</c:v>
                </c:pt>
                <c:pt idx="5">
                  <c:v>3.1666666666666665</c:v>
                </c:pt>
                <c:pt idx="6">
                  <c:v>3.1666666666666665</c:v>
                </c:pt>
                <c:pt idx="7">
                  <c:v>3.1666666666666665</c:v>
                </c:pt>
                <c:pt idx="8">
                  <c:v>3.1666666666666665</c:v>
                </c:pt>
                <c:pt idx="9">
                  <c:v>3.1666666666666665</c:v>
                </c:pt>
                <c:pt idx="10">
                  <c:v>3.1666666666666665</c:v>
                </c:pt>
                <c:pt idx="11">
                  <c:v>3.1666666666666665</c:v>
                </c:pt>
                <c:pt idx="12">
                  <c:v>3.1666666666666665</c:v>
                </c:pt>
                <c:pt idx="13">
                  <c:v>3.1666666666666665</c:v>
                </c:pt>
                <c:pt idx="14">
                  <c:v>3.1666666666666665</c:v>
                </c:pt>
                <c:pt idx="15">
                  <c:v>3.1666666666666665</c:v>
                </c:pt>
                <c:pt idx="16">
                  <c:v>3.1666666666666665</c:v>
                </c:pt>
                <c:pt idx="17">
                  <c:v>3.1666666666666665</c:v>
                </c:pt>
                <c:pt idx="18">
                  <c:v>3.1666666666666665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96-4DFD-9E68-00E664C9E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769435"/>
        <c:axId val="681102935"/>
      </c:lineChart>
      <c:areaChart>
        <c:grouping val="standard"/>
        <c:varyColors val="1"/>
        <c:ser>
          <c:idx val="10"/>
          <c:order val="10"/>
          <c:tx>
            <c:strRef>
              <c:f>Main!$G$139</c:f>
              <c:strCache>
                <c:ptCount val="1"/>
                <c:pt idx="0">
                  <c:v>On-Track Line</c:v>
                </c:pt>
              </c:strCache>
            </c:strRef>
          </c:tx>
          <c:spPr>
            <a:solidFill>
              <a:srgbClr val="FFFFFF">
                <a:alpha val="50000"/>
              </a:srgbClr>
            </a:solidFill>
            <a:ln w="9525" cmpd="sng">
              <a:solidFill>
                <a:srgbClr val="FFFFFF"/>
              </a:solidFill>
            </a:ln>
          </c:spPr>
          <c:cat>
            <c:strRef>
              <c:f>Main!$H$3:$Z$3</c:f>
              <c:strCache>
                <c:ptCount val="19"/>
                <c:pt idx="0">
                  <c:v> </c:v>
                </c:pt>
                <c:pt idx="1">
                  <c:v>1/07</c:v>
                </c:pt>
                <c:pt idx="2">
                  <c:v>1/10</c:v>
                </c:pt>
                <c:pt idx="3">
                  <c:v>1/11</c:v>
                </c:pt>
                <c:pt idx="4">
                  <c:v>1/12</c:v>
                </c:pt>
                <c:pt idx="5">
                  <c:v>1/13</c:v>
                </c:pt>
                <c:pt idx="6">
                  <c:v>1/14</c:v>
                </c:pt>
                <c:pt idx="7">
                  <c:v>1/17</c:v>
                </c:pt>
                <c:pt idx="8">
                  <c:v>1/18</c:v>
                </c:pt>
                <c:pt idx="9">
                  <c:v>1/19</c:v>
                </c:pt>
                <c:pt idx="10">
                  <c:v>1/20</c:v>
                </c:pt>
                <c:pt idx="11">
                  <c:v>1/21</c:v>
                </c:pt>
                <c:pt idx="12">
                  <c:v>1/21</c:v>
                </c:pt>
                <c:pt idx="13">
                  <c:v>1/21</c:v>
                </c:pt>
                <c:pt idx="14">
                  <c:v>1/21</c:v>
                </c:pt>
                <c:pt idx="15">
                  <c:v>1/21</c:v>
                </c:pt>
                <c:pt idx="16">
                  <c:v>1/21</c:v>
                </c:pt>
                <c:pt idx="17">
                  <c:v>1/21</c:v>
                </c:pt>
                <c:pt idx="18">
                  <c:v>1/21</c:v>
                </c:pt>
              </c:strCache>
            </c:strRef>
          </c:cat>
          <c:val>
            <c:numRef>
              <c:f>Main!$H$139:$Z$139</c:f>
              <c:numCache>
                <c:formatCode>General</c:formatCode>
                <c:ptCount val="19"/>
                <c:pt idx="0">
                  <c:v>6.5</c:v>
                </c:pt>
                <c:pt idx="1">
                  <c:v>6.5</c:v>
                </c:pt>
                <c:pt idx="2">
                  <c:v>5.8500000000000005</c:v>
                </c:pt>
                <c:pt idx="3">
                  <c:v>5.2</c:v>
                </c:pt>
                <c:pt idx="4">
                  <c:v>4.55</c:v>
                </c:pt>
                <c:pt idx="5">
                  <c:v>3.9</c:v>
                </c:pt>
                <c:pt idx="6">
                  <c:v>3.25</c:v>
                </c:pt>
                <c:pt idx="7">
                  <c:v>2.6</c:v>
                </c:pt>
                <c:pt idx="8">
                  <c:v>1.95</c:v>
                </c:pt>
                <c:pt idx="9">
                  <c:v>1.3</c:v>
                </c:pt>
                <c:pt idx="10">
                  <c:v>0.65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96-4DFD-9E68-00E664C9E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769435"/>
        <c:axId val="681102935"/>
      </c:areaChart>
      <c:catAx>
        <c:axId val="1451769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sz="1400" b="1">
                    <a:solidFill>
                      <a:srgbClr val="000000"/>
                    </a:solidFill>
                    <a:latin typeface="Roboto"/>
                  </a:rPr>
                  <a:t>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81102935"/>
        <c:crosses val="autoZero"/>
        <c:auto val="1"/>
        <c:lblAlgn val="ctr"/>
        <c:lblOffset val="100"/>
        <c:noMultiLvlLbl val="1"/>
      </c:catAx>
      <c:valAx>
        <c:axId val="681102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sz="1400" b="1">
                    <a:solidFill>
                      <a:srgbClr val="000000"/>
                    </a:solidFill>
                    <a:latin typeface="Roboto"/>
                  </a:rPr>
                  <a:t>Hours Remaining on Tasks by 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51769435"/>
        <c:crosses val="autoZero"/>
        <c:crossBetween val="between"/>
      </c:valAx>
    </c:plotArea>
    <c:legend>
      <c:legendPos val="t"/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 lvl="0">
            <a:defRPr sz="1400" b="1">
              <a:solidFill>
                <a:srgbClr val="222222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ook.prototools.net/r/BDC_Instructions" TargetMode="External"/><Relationship Id="rId1" Type="http://schemas.openxmlformats.org/officeDocument/2006/relationships/hyperlink" Target="http://bit.ly/IGDPD_BDC_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92"/>
  <sheetViews>
    <sheetView workbookViewId="0">
      <pane ySplit="3" topLeftCell="A7" activePane="bottomLeft" state="frozen"/>
      <selection pane="bottomLeft" activeCell="F27" sqref="F27"/>
    </sheetView>
  </sheetViews>
  <sheetFormatPr defaultColWidth="12.6640625" defaultRowHeight="15.75" customHeight="1" x14ac:dyDescent="0.25"/>
  <cols>
    <col min="1" max="1" width="5.21875" customWidth="1"/>
    <col min="2" max="2" width="48" customWidth="1"/>
    <col min="3" max="3" width="5.77734375" customWidth="1"/>
    <col min="4" max="5" width="6" customWidth="1"/>
    <col min="6" max="6" width="5.6640625" customWidth="1"/>
    <col min="7" max="7" width="2.109375" customWidth="1"/>
    <col min="8" max="8" width="4" customWidth="1"/>
    <col min="9" max="26" width="4.88671875" customWidth="1"/>
    <col min="27" max="27" width="1.33203125" customWidth="1"/>
    <col min="28" max="28" width="54.33203125" customWidth="1"/>
  </cols>
  <sheetData>
    <row r="1" spans="1:28" ht="12.75" customHeight="1" x14ac:dyDescent="0.25">
      <c r="A1" s="1" t="s">
        <v>0</v>
      </c>
      <c r="B1" s="2" t="s">
        <v>1</v>
      </c>
      <c r="C1" s="3"/>
      <c r="D1" s="4">
        <f t="shared" ref="D1:F1" si="0">SUMIF($A$5:$A$100,"&gt;0",D$5:D$100)</f>
        <v>35</v>
      </c>
      <c r="E1" s="5">
        <f t="shared" si="0"/>
        <v>39</v>
      </c>
      <c r="F1" s="6">
        <f t="shared" si="0"/>
        <v>19</v>
      </c>
      <c r="G1" s="7"/>
      <c r="H1" s="1"/>
      <c r="I1" s="8">
        <v>1</v>
      </c>
      <c r="J1" s="9">
        <f t="shared" ref="J1:Z1" si="1">IF(I3&gt;=$F$103,0, VLOOKUP(I2,$I$102:$K$108,3,FALSE))</f>
        <v>3</v>
      </c>
      <c r="K1" s="9">
        <f t="shared" si="1"/>
        <v>1</v>
      </c>
      <c r="L1" s="9">
        <f t="shared" si="1"/>
        <v>1</v>
      </c>
      <c r="M1" s="9">
        <f t="shared" si="1"/>
        <v>1</v>
      </c>
      <c r="N1" s="9">
        <f t="shared" si="1"/>
        <v>1</v>
      </c>
      <c r="O1" s="9">
        <f t="shared" si="1"/>
        <v>3</v>
      </c>
      <c r="P1" s="9">
        <f t="shared" si="1"/>
        <v>1</v>
      </c>
      <c r="Q1" s="9">
        <f t="shared" si="1"/>
        <v>1</v>
      </c>
      <c r="R1" s="9">
        <f t="shared" si="1"/>
        <v>1</v>
      </c>
      <c r="S1" s="9">
        <f t="shared" si="1"/>
        <v>1</v>
      </c>
      <c r="T1" s="9">
        <f t="shared" si="1"/>
        <v>0</v>
      </c>
      <c r="U1" s="9">
        <f t="shared" si="1"/>
        <v>0</v>
      </c>
      <c r="V1" s="8">
        <f t="shared" si="1"/>
        <v>0</v>
      </c>
      <c r="W1" s="8">
        <f t="shared" si="1"/>
        <v>0</v>
      </c>
      <c r="X1" s="8">
        <f t="shared" si="1"/>
        <v>0</v>
      </c>
      <c r="Y1" s="8">
        <f t="shared" si="1"/>
        <v>0</v>
      </c>
      <c r="Z1" s="8">
        <f t="shared" si="1"/>
        <v>0</v>
      </c>
      <c r="AA1" s="7"/>
      <c r="AB1" s="10" t="s">
        <v>2</v>
      </c>
    </row>
    <row r="2" spans="1:28" ht="13.2" x14ac:dyDescent="0.25">
      <c r="A2" s="11">
        <v>44908</v>
      </c>
      <c r="B2" s="12" t="s">
        <v>3</v>
      </c>
      <c r="C2" s="13"/>
      <c r="D2" s="14" t="s">
        <v>4</v>
      </c>
      <c r="E2" s="13" t="s">
        <v>4</v>
      </c>
      <c r="F2" s="13" t="s">
        <v>4</v>
      </c>
      <c r="G2" s="15"/>
      <c r="H2" s="16"/>
      <c r="I2" s="16" t="str">
        <f t="shared" ref="I2:Z2" si="2">CHOOSE(WEEKDAY(I3),"Sun","Mon","Tue","Wed","Thu","Fri","Sat")</f>
        <v>Fri</v>
      </c>
      <c r="J2" s="16" t="str">
        <f t="shared" si="2"/>
        <v>Mon</v>
      </c>
      <c r="K2" s="16" t="str">
        <f t="shared" si="2"/>
        <v>Tue</v>
      </c>
      <c r="L2" s="16" t="str">
        <f t="shared" si="2"/>
        <v>Wed</v>
      </c>
      <c r="M2" s="16" t="str">
        <f t="shared" si="2"/>
        <v>Thu</v>
      </c>
      <c r="N2" s="16" t="str">
        <f t="shared" si="2"/>
        <v>Fri</v>
      </c>
      <c r="O2" s="16" t="str">
        <f t="shared" si="2"/>
        <v>Mon</v>
      </c>
      <c r="P2" s="16" t="str">
        <f t="shared" si="2"/>
        <v>Tue</v>
      </c>
      <c r="Q2" s="16" t="str">
        <f t="shared" si="2"/>
        <v>Wed</v>
      </c>
      <c r="R2" s="16" t="str">
        <f t="shared" si="2"/>
        <v>Thu</v>
      </c>
      <c r="S2" s="16" t="str">
        <f t="shared" si="2"/>
        <v>Fri</v>
      </c>
      <c r="T2" s="16" t="str">
        <f t="shared" si="2"/>
        <v>Fri</v>
      </c>
      <c r="U2" s="16" t="str">
        <f t="shared" si="2"/>
        <v>Fri</v>
      </c>
      <c r="V2" s="16" t="str">
        <f t="shared" si="2"/>
        <v>Fri</v>
      </c>
      <c r="W2" s="16" t="str">
        <f t="shared" si="2"/>
        <v>Fri</v>
      </c>
      <c r="X2" s="16" t="str">
        <f t="shared" si="2"/>
        <v>Fri</v>
      </c>
      <c r="Y2" s="16" t="str">
        <f t="shared" si="2"/>
        <v>Fri</v>
      </c>
      <c r="Z2" s="16" t="str">
        <f t="shared" si="2"/>
        <v>Fri</v>
      </c>
      <c r="AA2" s="15"/>
      <c r="AB2" s="17"/>
    </row>
    <row r="3" spans="1:28" ht="18" customHeight="1" x14ac:dyDescent="0.25">
      <c r="A3" s="13" t="s">
        <v>5</v>
      </c>
      <c r="B3" s="18" t="s">
        <v>6</v>
      </c>
      <c r="C3" s="13" t="s">
        <v>7</v>
      </c>
      <c r="D3" s="14" t="s">
        <v>8</v>
      </c>
      <c r="E3" s="13" t="s">
        <v>9</v>
      </c>
      <c r="F3" s="13" t="s">
        <v>10</v>
      </c>
      <c r="G3" s="19"/>
      <c r="H3" s="13" t="s">
        <v>11</v>
      </c>
      <c r="I3" s="11">
        <f>F102</f>
        <v>44568</v>
      </c>
      <c r="J3" s="11">
        <f t="shared" ref="J3:Z3" si="3">I3+J1</f>
        <v>44571</v>
      </c>
      <c r="K3" s="11">
        <f t="shared" si="3"/>
        <v>44572</v>
      </c>
      <c r="L3" s="11">
        <f t="shared" si="3"/>
        <v>44573</v>
      </c>
      <c r="M3" s="11">
        <f t="shared" si="3"/>
        <v>44574</v>
      </c>
      <c r="N3" s="11">
        <f t="shared" si="3"/>
        <v>44575</v>
      </c>
      <c r="O3" s="11">
        <f t="shared" si="3"/>
        <v>44578</v>
      </c>
      <c r="P3" s="11">
        <f t="shared" si="3"/>
        <v>44579</v>
      </c>
      <c r="Q3" s="11">
        <f t="shared" si="3"/>
        <v>44580</v>
      </c>
      <c r="R3" s="11">
        <f t="shared" si="3"/>
        <v>44581</v>
      </c>
      <c r="S3" s="11">
        <f t="shared" si="3"/>
        <v>44582</v>
      </c>
      <c r="T3" s="11">
        <f t="shared" si="3"/>
        <v>44582</v>
      </c>
      <c r="U3" s="11">
        <f t="shared" si="3"/>
        <v>44582</v>
      </c>
      <c r="V3" s="11">
        <f t="shared" si="3"/>
        <v>44582</v>
      </c>
      <c r="W3" s="11">
        <f t="shared" si="3"/>
        <v>44582</v>
      </c>
      <c r="X3" s="11">
        <f t="shared" si="3"/>
        <v>44582</v>
      </c>
      <c r="Y3" s="11">
        <f t="shared" si="3"/>
        <v>44582</v>
      </c>
      <c r="Z3" s="11">
        <f t="shared" si="3"/>
        <v>44582</v>
      </c>
      <c r="AA3" s="19"/>
      <c r="AB3" s="16" t="s">
        <v>12</v>
      </c>
    </row>
    <row r="4" spans="1:28" ht="13.2" x14ac:dyDescent="0.25">
      <c r="A4" s="20" t="s">
        <v>13</v>
      </c>
      <c r="B4" s="21"/>
      <c r="C4" s="20"/>
      <c r="D4" s="22"/>
      <c r="E4" s="23"/>
      <c r="F4" s="24"/>
      <c r="G4" s="25"/>
      <c r="H4" s="23"/>
      <c r="I4" s="23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2" x14ac:dyDescent="0.25">
      <c r="A5" s="27"/>
      <c r="B5" s="28" t="s">
        <v>14</v>
      </c>
      <c r="C5" s="27"/>
      <c r="D5" s="29"/>
      <c r="E5" s="27">
        <f>D5</f>
        <v>0</v>
      </c>
      <c r="F5" s="30">
        <f t="shared" ref="F5:F100" si="4">Z5</f>
        <v>0</v>
      </c>
      <c r="G5" s="31"/>
      <c r="H5" s="32">
        <f t="shared" ref="H5:H100" si="5">E5</f>
        <v>0</v>
      </c>
      <c r="I5" s="33">
        <f t="shared" ref="I5:Z5" si="6">H5</f>
        <v>0</v>
      </c>
      <c r="J5" s="33">
        <f t="shared" si="6"/>
        <v>0</v>
      </c>
      <c r="K5" s="33">
        <f t="shared" si="6"/>
        <v>0</v>
      </c>
      <c r="L5" s="33">
        <f t="shared" si="6"/>
        <v>0</v>
      </c>
      <c r="M5" s="33">
        <f t="shared" si="6"/>
        <v>0</v>
      </c>
      <c r="N5" s="33">
        <f t="shared" si="6"/>
        <v>0</v>
      </c>
      <c r="O5" s="33">
        <f t="shared" si="6"/>
        <v>0</v>
      </c>
      <c r="P5" s="33">
        <f t="shared" si="6"/>
        <v>0</v>
      </c>
      <c r="Q5" s="33">
        <f t="shared" si="6"/>
        <v>0</v>
      </c>
      <c r="R5" s="33">
        <f t="shared" si="6"/>
        <v>0</v>
      </c>
      <c r="S5" s="33">
        <f t="shared" si="6"/>
        <v>0</v>
      </c>
      <c r="T5" s="33">
        <f t="shared" si="6"/>
        <v>0</v>
      </c>
      <c r="U5" s="33">
        <f t="shared" si="6"/>
        <v>0</v>
      </c>
      <c r="V5" s="33">
        <f t="shared" si="6"/>
        <v>0</v>
      </c>
      <c r="W5" s="33">
        <f t="shared" si="6"/>
        <v>0</v>
      </c>
      <c r="X5" s="33">
        <f t="shared" si="6"/>
        <v>0</v>
      </c>
      <c r="Y5" s="33">
        <f t="shared" si="6"/>
        <v>0</v>
      </c>
      <c r="Z5" s="33">
        <f t="shared" si="6"/>
        <v>0</v>
      </c>
      <c r="AA5" s="31"/>
      <c r="AB5" s="31"/>
    </row>
    <row r="6" spans="1:28" ht="13.2" x14ac:dyDescent="0.25">
      <c r="A6" s="34">
        <v>1</v>
      </c>
      <c r="B6" s="71" t="s">
        <v>85</v>
      </c>
      <c r="C6" s="36" t="s">
        <v>15</v>
      </c>
      <c r="D6" s="29">
        <v>4</v>
      </c>
      <c r="E6" s="36">
        <v>6</v>
      </c>
      <c r="F6" s="30">
        <f t="shared" si="4"/>
        <v>0</v>
      </c>
      <c r="G6" s="31"/>
      <c r="H6" s="32">
        <f t="shared" si="5"/>
        <v>6</v>
      </c>
      <c r="I6" s="33">
        <v>3</v>
      </c>
      <c r="J6" s="33">
        <v>6</v>
      </c>
      <c r="K6" s="33">
        <v>2</v>
      </c>
      <c r="L6" s="33">
        <v>1</v>
      </c>
      <c r="M6" s="33">
        <v>0</v>
      </c>
      <c r="N6" s="33">
        <f t="shared" ref="N6:Z6" si="7">M6</f>
        <v>0</v>
      </c>
      <c r="O6" s="33">
        <f t="shared" si="7"/>
        <v>0</v>
      </c>
      <c r="P6" s="33">
        <f t="shared" si="7"/>
        <v>0</v>
      </c>
      <c r="Q6" s="33">
        <f t="shared" si="7"/>
        <v>0</v>
      </c>
      <c r="R6" s="33">
        <f t="shared" si="7"/>
        <v>0</v>
      </c>
      <c r="S6" s="33">
        <f t="shared" si="7"/>
        <v>0</v>
      </c>
      <c r="T6" s="33">
        <f t="shared" si="7"/>
        <v>0</v>
      </c>
      <c r="U6" s="33">
        <f t="shared" si="7"/>
        <v>0</v>
      </c>
      <c r="V6" s="33">
        <f t="shared" si="7"/>
        <v>0</v>
      </c>
      <c r="W6" s="33">
        <f t="shared" si="7"/>
        <v>0</v>
      </c>
      <c r="X6" s="33">
        <f t="shared" si="7"/>
        <v>0</v>
      </c>
      <c r="Y6" s="33">
        <f t="shared" si="7"/>
        <v>0</v>
      </c>
      <c r="Z6" s="33">
        <f t="shared" si="7"/>
        <v>0</v>
      </c>
      <c r="AA6" s="31"/>
      <c r="AB6" s="31"/>
    </row>
    <row r="7" spans="1:28" ht="13.2" x14ac:dyDescent="0.25">
      <c r="A7" s="27">
        <v>1</v>
      </c>
      <c r="B7" s="28" t="s">
        <v>16</v>
      </c>
      <c r="C7" s="27" t="s">
        <v>99</v>
      </c>
      <c r="D7" s="29">
        <v>0</v>
      </c>
      <c r="E7" s="27">
        <v>2</v>
      </c>
      <c r="F7" s="30">
        <f t="shared" si="4"/>
        <v>0</v>
      </c>
      <c r="G7" s="31"/>
      <c r="H7" s="32">
        <f t="shared" si="5"/>
        <v>2</v>
      </c>
      <c r="I7" s="33">
        <f t="shared" ref="I7:J7" si="8">H7</f>
        <v>2</v>
      </c>
      <c r="J7" s="33">
        <f t="shared" si="8"/>
        <v>2</v>
      </c>
      <c r="K7" s="33">
        <v>0</v>
      </c>
      <c r="L7" s="33">
        <f t="shared" ref="L7:Z7" si="9">K7</f>
        <v>0</v>
      </c>
      <c r="M7" s="33">
        <f t="shared" si="9"/>
        <v>0</v>
      </c>
      <c r="N7" s="33">
        <f t="shared" si="9"/>
        <v>0</v>
      </c>
      <c r="O7" s="33">
        <f t="shared" si="9"/>
        <v>0</v>
      </c>
      <c r="P7" s="33">
        <f t="shared" si="9"/>
        <v>0</v>
      </c>
      <c r="Q7" s="33">
        <f t="shared" si="9"/>
        <v>0</v>
      </c>
      <c r="R7" s="33">
        <f t="shared" si="9"/>
        <v>0</v>
      </c>
      <c r="S7" s="33">
        <f t="shared" si="9"/>
        <v>0</v>
      </c>
      <c r="T7" s="33">
        <f t="shared" si="9"/>
        <v>0</v>
      </c>
      <c r="U7" s="33">
        <f t="shared" si="9"/>
        <v>0</v>
      </c>
      <c r="V7" s="33">
        <f t="shared" si="9"/>
        <v>0</v>
      </c>
      <c r="W7" s="33">
        <f t="shared" si="9"/>
        <v>0</v>
      </c>
      <c r="X7" s="33">
        <f t="shared" si="9"/>
        <v>0</v>
      </c>
      <c r="Y7" s="33">
        <f t="shared" si="9"/>
        <v>0</v>
      </c>
      <c r="Z7" s="33">
        <f t="shared" si="9"/>
        <v>0</v>
      </c>
      <c r="AA7" s="31"/>
      <c r="AB7" s="31"/>
    </row>
    <row r="8" spans="1:28" ht="13.2" x14ac:dyDescent="0.25">
      <c r="A8" s="37">
        <v>1</v>
      </c>
      <c r="B8" s="28" t="s">
        <v>17</v>
      </c>
      <c r="C8" s="36" t="s">
        <v>15</v>
      </c>
      <c r="D8" s="29">
        <v>2</v>
      </c>
      <c r="E8" s="27">
        <v>1</v>
      </c>
      <c r="F8" s="30">
        <f t="shared" si="4"/>
        <v>0</v>
      </c>
      <c r="G8" s="31"/>
      <c r="H8" s="32">
        <f t="shared" si="5"/>
        <v>1</v>
      </c>
      <c r="I8" s="33">
        <f t="shared" ref="I8:K8" si="10">H8</f>
        <v>1</v>
      </c>
      <c r="J8" s="33">
        <f t="shared" si="10"/>
        <v>1</v>
      </c>
      <c r="K8" s="33">
        <f t="shared" si="10"/>
        <v>1</v>
      </c>
      <c r="L8" s="33">
        <v>0</v>
      </c>
      <c r="M8" s="33">
        <f t="shared" ref="M8:Z8" si="11">L8</f>
        <v>0</v>
      </c>
      <c r="N8" s="33">
        <f t="shared" si="11"/>
        <v>0</v>
      </c>
      <c r="O8" s="33">
        <f t="shared" si="11"/>
        <v>0</v>
      </c>
      <c r="P8" s="33">
        <f t="shared" si="11"/>
        <v>0</v>
      </c>
      <c r="Q8" s="33">
        <f t="shared" si="11"/>
        <v>0</v>
      </c>
      <c r="R8" s="33">
        <f t="shared" si="11"/>
        <v>0</v>
      </c>
      <c r="S8" s="33">
        <f t="shared" si="11"/>
        <v>0</v>
      </c>
      <c r="T8" s="33">
        <f t="shared" si="11"/>
        <v>0</v>
      </c>
      <c r="U8" s="33">
        <f t="shared" si="11"/>
        <v>0</v>
      </c>
      <c r="V8" s="33">
        <f t="shared" si="11"/>
        <v>0</v>
      </c>
      <c r="W8" s="33">
        <f t="shared" si="11"/>
        <v>0</v>
      </c>
      <c r="X8" s="33">
        <f t="shared" si="11"/>
        <v>0</v>
      </c>
      <c r="Y8" s="33">
        <f t="shared" si="11"/>
        <v>0</v>
      </c>
      <c r="Z8" s="33">
        <f t="shared" si="11"/>
        <v>0</v>
      </c>
      <c r="AA8" s="31"/>
      <c r="AB8" s="31"/>
    </row>
    <row r="9" spans="1:28" ht="13.2" x14ac:dyDescent="0.25">
      <c r="A9" s="27">
        <v>1</v>
      </c>
      <c r="B9" s="28" t="s">
        <v>18</v>
      </c>
      <c r="C9" s="36" t="s">
        <v>100</v>
      </c>
      <c r="D9" s="29">
        <v>2</v>
      </c>
      <c r="E9" s="27">
        <f t="shared" ref="E9:E10" si="12">D9</f>
        <v>2</v>
      </c>
      <c r="F9" s="30">
        <f t="shared" si="4"/>
        <v>2</v>
      </c>
      <c r="G9" s="31"/>
      <c r="H9" s="32">
        <f t="shared" si="5"/>
        <v>2</v>
      </c>
      <c r="I9" s="33">
        <f t="shared" ref="I9:Z9" si="13">H9</f>
        <v>2</v>
      </c>
      <c r="J9" s="33">
        <f t="shared" si="13"/>
        <v>2</v>
      </c>
      <c r="K9" s="33">
        <f t="shared" si="13"/>
        <v>2</v>
      </c>
      <c r="L9" s="33">
        <f t="shared" si="13"/>
        <v>2</v>
      </c>
      <c r="M9" s="33">
        <f t="shared" si="13"/>
        <v>2</v>
      </c>
      <c r="N9" s="33">
        <f t="shared" si="13"/>
        <v>2</v>
      </c>
      <c r="O9" s="33">
        <f t="shared" si="13"/>
        <v>2</v>
      </c>
      <c r="P9" s="33">
        <f t="shared" si="13"/>
        <v>2</v>
      </c>
      <c r="Q9" s="33">
        <f t="shared" si="13"/>
        <v>2</v>
      </c>
      <c r="R9" s="33">
        <f t="shared" si="13"/>
        <v>2</v>
      </c>
      <c r="S9" s="33">
        <f t="shared" si="13"/>
        <v>2</v>
      </c>
      <c r="T9" s="33">
        <f t="shared" si="13"/>
        <v>2</v>
      </c>
      <c r="U9" s="33">
        <f t="shared" si="13"/>
        <v>2</v>
      </c>
      <c r="V9" s="33">
        <f t="shared" si="13"/>
        <v>2</v>
      </c>
      <c r="W9" s="33">
        <f t="shared" si="13"/>
        <v>2</v>
      </c>
      <c r="X9" s="33">
        <f t="shared" si="13"/>
        <v>2</v>
      </c>
      <c r="Y9" s="33">
        <f t="shared" si="13"/>
        <v>2</v>
      </c>
      <c r="Z9" s="33">
        <f t="shared" si="13"/>
        <v>2</v>
      </c>
      <c r="AA9" s="31"/>
      <c r="AB9" s="31"/>
    </row>
    <row r="10" spans="1:28" ht="13.2" x14ac:dyDescent="0.25">
      <c r="A10" s="27">
        <v>1</v>
      </c>
      <c r="B10" s="28" t="s">
        <v>86</v>
      </c>
      <c r="C10" s="36" t="s">
        <v>15</v>
      </c>
      <c r="D10" s="29">
        <v>2</v>
      </c>
      <c r="E10" s="27">
        <f t="shared" si="12"/>
        <v>2</v>
      </c>
      <c r="F10" s="30">
        <f t="shared" si="4"/>
        <v>2</v>
      </c>
      <c r="G10" s="31"/>
      <c r="H10" s="32">
        <f t="shared" si="5"/>
        <v>2</v>
      </c>
      <c r="I10" s="33">
        <f t="shared" ref="I10:Z10" si="14">H10</f>
        <v>2</v>
      </c>
      <c r="J10" s="33">
        <f t="shared" si="14"/>
        <v>2</v>
      </c>
      <c r="K10" s="33">
        <f t="shared" si="14"/>
        <v>2</v>
      </c>
      <c r="L10" s="33">
        <f t="shared" si="14"/>
        <v>2</v>
      </c>
      <c r="M10" s="33">
        <f t="shared" si="14"/>
        <v>2</v>
      </c>
      <c r="N10" s="33">
        <f t="shared" si="14"/>
        <v>2</v>
      </c>
      <c r="O10" s="33">
        <f t="shared" si="14"/>
        <v>2</v>
      </c>
      <c r="P10" s="33">
        <f t="shared" si="14"/>
        <v>2</v>
      </c>
      <c r="Q10" s="33">
        <f t="shared" si="14"/>
        <v>2</v>
      </c>
      <c r="R10" s="33">
        <f t="shared" si="14"/>
        <v>2</v>
      </c>
      <c r="S10" s="33">
        <f t="shared" si="14"/>
        <v>2</v>
      </c>
      <c r="T10" s="33">
        <f t="shared" si="14"/>
        <v>2</v>
      </c>
      <c r="U10" s="33">
        <f t="shared" si="14"/>
        <v>2</v>
      </c>
      <c r="V10" s="33">
        <f t="shared" si="14"/>
        <v>2</v>
      </c>
      <c r="W10" s="33">
        <f t="shared" si="14"/>
        <v>2</v>
      </c>
      <c r="X10" s="33">
        <f t="shared" si="14"/>
        <v>2</v>
      </c>
      <c r="Y10" s="33">
        <f t="shared" si="14"/>
        <v>2</v>
      </c>
      <c r="Z10" s="33">
        <f t="shared" si="14"/>
        <v>2</v>
      </c>
      <c r="AA10" s="31"/>
      <c r="AB10" s="31"/>
    </row>
    <row r="11" spans="1:28" ht="13.2" x14ac:dyDescent="0.25">
      <c r="A11" s="27">
        <v>1</v>
      </c>
      <c r="B11" s="28" t="s">
        <v>19</v>
      </c>
      <c r="C11" s="27" t="s">
        <v>99</v>
      </c>
      <c r="D11" s="29">
        <v>4</v>
      </c>
      <c r="E11" s="27">
        <v>4</v>
      </c>
      <c r="F11" s="30">
        <f t="shared" si="4"/>
        <v>2</v>
      </c>
      <c r="G11" s="31"/>
      <c r="H11" s="32">
        <f t="shared" si="5"/>
        <v>4</v>
      </c>
      <c r="I11" s="33">
        <v>3</v>
      </c>
      <c r="J11" s="33">
        <v>2</v>
      </c>
      <c r="K11" s="33">
        <f t="shared" ref="K11:Z11" si="15">J11</f>
        <v>2</v>
      </c>
      <c r="L11" s="33">
        <f t="shared" si="15"/>
        <v>2</v>
      </c>
      <c r="M11" s="33">
        <f t="shared" si="15"/>
        <v>2</v>
      </c>
      <c r="N11" s="33">
        <f t="shared" si="15"/>
        <v>2</v>
      </c>
      <c r="O11" s="33">
        <f t="shared" si="15"/>
        <v>2</v>
      </c>
      <c r="P11" s="33">
        <f t="shared" si="15"/>
        <v>2</v>
      </c>
      <c r="Q11" s="33">
        <f t="shared" si="15"/>
        <v>2</v>
      </c>
      <c r="R11" s="33">
        <f t="shared" si="15"/>
        <v>2</v>
      </c>
      <c r="S11" s="33">
        <f t="shared" si="15"/>
        <v>2</v>
      </c>
      <c r="T11" s="33">
        <f t="shared" si="15"/>
        <v>2</v>
      </c>
      <c r="U11" s="33">
        <f t="shared" si="15"/>
        <v>2</v>
      </c>
      <c r="V11" s="33">
        <f t="shared" si="15"/>
        <v>2</v>
      </c>
      <c r="W11" s="33">
        <f t="shared" si="15"/>
        <v>2</v>
      </c>
      <c r="X11" s="33">
        <f t="shared" si="15"/>
        <v>2</v>
      </c>
      <c r="Y11" s="33">
        <f t="shared" si="15"/>
        <v>2</v>
      </c>
      <c r="Z11" s="33">
        <f t="shared" si="15"/>
        <v>2</v>
      </c>
      <c r="AA11" s="31"/>
      <c r="AB11" s="31"/>
    </row>
    <row r="12" spans="1:28" ht="13.2" x14ac:dyDescent="0.25">
      <c r="A12" s="27"/>
      <c r="B12" s="28"/>
      <c r="C12" s="27"/>
      <c r="D12" s="29"/>
      <c r="E12" s="27">
        <f t="shared" ref="E12:E23" si="16">D12</f>
        <v>0</v>
      </c>
      <c r="F12" s="30">
        <f t="shared" si="4"/>
        <v>0</v>
      </c>
      <c r="G12" s="31"/>
      <c r="H12" s="32">
        <f t="shared" si="5"/>
        <v>0</v>
      </c>
      <c r="I12" s="33">
        <f t="shared" ref="I12:Z12" si="17">H12</f>
        <v>0</v>
      </c>
      <c r="J12" s="33">
        <f t="shared" si="17"/>
        <v>0</v>
      </c>
      <c r="K12" s="33">
        <f t="shared" si="17"/>
        <v>0</v>
      </c>
      <c r="L12" s="33">
        <f t="shared" si="17"/>
        <v>0</v>
      </c>
      <c r="M12" s="33">
        <f t="shared" si="17"/>
        <v>0</v>
      </c>
      <c r="N12" s="33">
        <f t="shared" si="17"/>
        <v>0</v>
      </c>
      <c r="O12" s="33">
        <f t="shared" si="17"/>
        <v>0</v>
      </c>
      <c r="P12" s="33">
        <f t="shared" si="17"/>
        <v>0</v>
      </c>
      <c r="Q12" s="33">
        <f t="shared" si="17"/>
        <v>0</v>
      </c>
      <c r="R12" s="33">
        <f t="shared" si="17"/>
        <v>0</v>
      </c>
      <c r="S12" s="33">
        <f t="shared" si="17"/>
        <v>0</v>
      </c>
      <c r="T12" s="33">
        <f t="shared" si="17"/>
        <v>0</v>
      </c>
      <c r="U12" s="33">
        <f t="shared" si="17"/>
        <v>0</v>
      </c>
      <c r="V12" s="33">
        <f t="shared" si="17"/>
        <v>0</v>
      </c>
      <c r="W12" s="33">
        <f t="shared" si="17"/>
        <v>0</v>
      </c>
      <c r="X12" s="33">
        <f t="shared" si="17"/>
        <v>0</v>
      </c>
      <c r="Y12" s="33">
        <f t="shared" si="17"/>
        <v>0</v>
      </c>
      <c r="Z12" s="33">
        <f t="shared" si="17"/>
        <v>0</v>
      </c>
      <c r="AA12" s="31"/>
      <c r="AB12" s="31"/>
    </row>
    <row r="13" spans="1:28" ht="13.2" x14ac:dyDescent="0.25">
      <c r="A13" s="27"/>
      <c r="B13" s="28" t="s">
        <v>20</v>
      </c>
      <c r="C13" s="27"/>
      <c r="D13" s="29"/>
      <c r="E13" s="27">
        <f t="shared" si="16"/>
        <v>0</v>
      </c>
      <c r="F13" s="30">
        <f t="shared" si="4"/>
        <v>0</v>
      </c>
      <c r="G13" s="31"/>
      <c r="H13" s="32">
        <f t="shared" si="5"/>
        <v>0</v>
      </c>
      <c r="I13" s="33">
        <f t="shared" ref="I13:Z13" si="18">H13</f>
        <v>0</v>
      </c>
      <c r="J13" s="33">
        <f t="shared" si="18"/>
        <v>0</v>
      </c>
      <c r="K13" s="33">
        <f t="shared" si="18"/>
        <v>0</v>
      </c>
      <c r="L13" s="33">
        <f t="shared" si="18"/>
        <v>0</v>
      </c>
      <c r="M13" s="33">
        <f t="shared" si="18"/>
        <v>0</v>
      </c>
      <c r="N13" s="33">
        <f t="shared" si="18"/>
        <v>0</v>
      </c>
      <c r="O13" s="33">
        <f t="shared" si="18"/>
        <v>0</v>
      </c>
      <c r="P13" s="33">
        <f t="shared" si="18"/>
        <v>0</v>
      </c>
      <c r="Q13" s="33">
        <f t="shared" si="18"/>
        <v>0</v>
      </c>
      <c r="R13" s="33">
        <f t="shared" si="18"/>
        <v>0</v>
      </c>
      <c r="S13" s="33">
        <f t="shared" si="18"/>
        <v>0</v>
      </c>
      <c r="T13" s="33">
        <f t="shared" si="18"/>
        <v>0</v>
      </c>
      <c r="U13" s="33">
        <f t="shared" si="18"/>
        <v>0</v>
      </c>
      <c r="V13" s="33">
        <f t="shared" si="18"/>
        <v>0</v>
      </c>
      <c r="W13" s="33">
        <f t="shared" si="18"/>
        <v>0</v>
      </c>
      <c r="X13" s="33">
        <f t="shared" si="18"/>
        <v>0</v>
      </c>
      <c r="Y13" s="33">
        <f t="shared" si="18"/>
        <v>0</v>
      </c>
      <c r="Z13" s="33">
        <f t="shared" si="18"/>
        <v>0</v>
      </c>
      <c r="AA13" s="31"/>
      <c r="AB13" s="31"/>
    </row>
    <row r="14" spans="1:28" ht="13.2" x14ac:dyDescent="0.25">
      <c r="A14" s="27">
        <v>1</v>
      </c>
      <c r="B14" s="28" t="s">
        <v>87</v>
      </c>
      <c r="C14" s="27" t="s">
        <v>15</v>
      </c>
      <c r="D14" s="29">
        <v>2</v>
      </c>
      <c r="E14" s="27">
        <f t="shared" si="16"/>
        <v>2</v>
      </c>
      <c r="F14" s="30">
        <f t="shared" si="4"/>
        <v>0</v>
      </c>
      <c r="G14" s="31"/>
      <c r="H14" s="32">
        <f t="shared" si="5"/>
        <v>2</v>
      </c>
      <c r="I14" s="33">
        <f t="shared" ref="I14:I100" si="19">H14</f>
        <v>2</v>
      </c>
      <c r="J14" s="33">
        <v>0</v>
      </c>
      <c r="K14" s="33">
        <f t="shared" ref="K14:Z14" si="20">J14</f>
        <v>0</v>
      </c>
      <c r="L14" s="33">
        <f t="shared" si="20"/>
        <v>0</v>
      </c>
      <c r="M14" s="33">
        <f t="shared" si="20"/>
        <v>0</v>
      </c>
      <c r="N14" s="33">
        <f t="shared" si="20"/>
        <v>0</v>
      </c>
      <c r="O14" s="33">
        <f t="shared" si="20"/>
        <v>0</v>
      </c>
      <c r="P14" s="33">
        <f t="shared" si="20"/>
        <v>0</v>
      </c>
      <c r="Q14" s="33">
        <f t="shared" si="20"/>
        <v>0</v>
      </c>
      <c r="R14" s="33">
        <f t="shared" si="20"/>
        <v>0</v>
      </c>
      <c r="S14" s="33">
        <f t="shared" si="20"/>
        <v>0</v>
      </c>
      <c r="T14" s="33">
        <f t="shared" si="20"/>
        <v>0</v>
      </c>
      <c r="U14" s="33">
        <f t="shared" si="20"/>
        <v>0</v>
      </c>
      <c r="V14" s="33">
        <f t="shared" si="20"/>
        <v>0</v>
      </c>
      <c r="W14" s="33">
        <f t="shared" si="20"/>
        <v>0</v>
      </c>
      <c r="X14" s="33">
        <f t="shared" si="20"/>
        <v>0</v>
      </c>
      <c r="Y14" s="33">
        <f t="shared" si="20"/>
        <v>0</v>
      </c>
      <c r="Z14" s="33">
        <f t="shared" si="20"/>
        <v>0</v>
      </c>
      <c r="AA14" s="31"/>
      <c r="AB14" s="31"/>
    </row>
    <row r="15" spans="1:28" ht="13.2" x14ac:dyDescent="0.25">
      <c r="A15" s="27">
        <v>1</v>
      </c>
      <c r="B15" s="28" t="s">
        <v>88</v>
      </c>
      <c r="C15" s="27" t="s">
        <v>99</v>
      </c>
      <c r="D15" s="29">
        <v>1</v>
      </c>
      <c r="E15" s="27">
        <f t="shared" si="16"/>
        <v>1</v>
      </c>
      <c r="F15" s="30">
        <f t="shared" si="4"/>
        <v>1</v>
      </c>
      <c r="G15" s="31"/>
      <c r="H15" s="32">
        <f t="shared" si="5"/>
        <v>1</v>
      </c>
      <c r="I15" s="33">
        <f t="shared" si="19"/>
        <v>1</v>
      </c>
      <c r="J15" s="33">
        <f t="shared" ref="J15:Z15" si="21">I15</f>
        <v>1</v>
      </c>
      <c r="K15" s="33">
        <f t="shared" si="21"/>
        <v>1</v>
      </c>
      <c r="L15" s="33">
        <f t="shared" si="21"/>
        <v>1</v>
      </c>
      <c r="M15" s="33">
        <f t="shared" si="21"/>
        <v>1</v>
      </c>
      <c r="N15" s="33">
        <f t="shared" si="21"/>
        <v>1</v>
      </c>
      <c r="O15" s="33">
        <f t="shared" si="21"/>
        <v>1</v>
      </c>
      <c r="P15" s="33">
        <f t="shared" si="21"/>
        <v>1</v>
      </c>
      <c r="Q15" s="33">
        <f t="shared" si="21"/>
        <v>1</v>
      </c>
      <c r="R15" s="33">
        <f t="shared" si="21"/>
        <v>1</v>
      </c>
      <c r="S15" s="33">
        <f t="shared" si="21"/>
        <v>1</v>
      </c>
      <c r="T15" s="33">
        <f t="shared" si="21"/>
        <v>1</v>
      </c>
      <c r="U15" s="33">
        <f t="shared" si="21"/>
        <v>1</v>
      </c>
      <c r="V15" s="33">
        <f t="shared" si="21"/>
        <v>1</v>
      </c>
      <c r="W15" s="33">
        <f t="shared" si="21"/>
        <v>1</v>
      </c>
      <c r="X15" s="33">
        <f t="shared" si="21"/>
        <v>1</v>
      </c>
      <c r="Y15" s="33">
        <f t="shared" si="21"/>
        <v>1</v>
      </c>
      <c r="Z15" s="33">
        <f t="shared" si="21"/>
        <v>1</v>
      </c>
      <c r="AA15" s="31"/>
      <c r="AB15" s="31"/>
    </row>
    <row r="16" spans="1:28" ht="13.2" x14ac:dyDescent="0.25">
      <c r="A16" s="27"/>
      <c r="B16" s="38"/>
      <c r="C16" s="27"/>
      <c r="D16" s="29"/>
      <c r="E16" s="27">
        <f t="shared" si="16"/>
        <v>0</v>
      </c>
      <c r="F16" s="30">
        <f t="shared" si="4"/>
        <v>0</v>
      </c>
      <c r="G16" s="31"/>
      <c r="H16" s="72">
        <f t="shared" si="5"/>
        <v>0</v>
      </c>
      <c r="I16" s="73">
        <f t="shared" si="19"/>
        <v>0</v>
      </c>
      <c r="J16" s="73">
        <f t="shared" ref="J16:Z16" si="22">I16</f>
        <v>0</v>
      </c>
      <c r="K16" s="73">
        <f t="shared" si="22"/>
        <v>0</v>
      </c>
      <c r="L16" s="73">
        <f t="shared" si="22"/>
        <v>0</v>
      </c>
      <c r="M16" s="73">
        <f t="shared" si="22"/>
        <v>0</v>
      </c>
      <c r="N16" s="73">
        <f t="shared" si="22"/>
        <v>0</v>
      </c>
      <c r="O16" s="73">
        <f t="shared" si="22"/>
        <v>0</v>
      </c>
      <c r="P16" s="73">
        <f t="shared" si="22"/>
        <v>0</v>
      </c>
      <c r="Q16" s="73">
        <f t="shared" si="22"/>
        <v>0</v>
      </c>
      <c r="R16" s="73">
        <f t="shared" si="22"/>
        <v>0</v>
      </c>
      <c r="S16" s="73">
        <f t="shared" si="22"/>
        <v>0</v>
      </c>
      <c r="T16" s="73">
        <f t="shared" si="22"/>
        <v>0</v>
      </c>
      <c r="U16" s="73">
        <f t="shared" si="22"/>
        <v>0</v>
      </c>
      <c r="V16" s="73">
        <f t="shared" si="22"/>
        <v>0</v>
      </c>
      <c r="W16" s="73">
        <f t="shared" si="22"/>
        <v>0</v>
      </c>
      <c r="X16" s="73">
        <f t="shared" si="22"/>
        <v>0</v>
      </c>
      <c r="Y16" s="73">
        <f t="shared" si="22"/>
        <v>0</v>
      </c>
      <c r="Z16" s="73">
        <f t="shared" si="22"/>
        <v>0</v>
      </c>
      <c r="AA16" s="31"/>
      <c r="AB16" s="31"/>
    </row>
    <row r="17" spans="1:28" ht="13.2" x14ac:dyDescent="0.25">
      <c r="A17" s="27"/>
      <c r="B17" s="28" t="s">
        <v>21</v>
      </c>
      <c r="C17" s="27"/>
      <c r="D17" s="29"/>
      <c r="E17" s="27">
        <f t="shared" si="16"/>
        <v>0</v>
      </c>
      <c r="F17" s="30">
        <f t="shared" si="4"/>
        <v>0</v>
      </c>
      <c r="G17" s="31"/>
      <c r="H17" s="32">
        <f t="shared" si="5"/>
        <v>0</v>
      </c>
      <c r="I17" s="33">
        <f t="shared" si="19"/>
        <v>0</v>
      </c>
      <c r="J17" s="33">
        <f t="shared" ref="J17:Z17" si="23">I17</f>
        <v>0</v>
      </c>
      <c r="K17" s="33">
        <f t="shared" si="23"/>
        <v>0</v>
      </c>
      <c r="L17" s="33">
        <f t="shared" si="23"/>
        <v>0</v>
      </c>
      <c r="M17" s="33">
        <f t="shared" si="23"/>
        <v>0</v>
      </c>
      <c r="N17" s="33">
        <f t="shared" si="23"/>
        <v>0</v>
      </c>
      <c r="O17" s="33">
        <f t="shared" si="23"/>
        <v>0</v>
      </c>
      <c r="P17" s="33">
        <f t="shared" si="23"/>
        <v>0</v>
      </c>
      <c r="Q17" s="33">
        <f t="shared" si="23"/>
        <v>0</v>
      </c>
      <c r="R17" s="33">
        <f t="shared" si="23"/>
        <v>0</v>
      </c>
      <c r="S17" s="33">
        <f t="shared" si="23"/>
        <v>0</v>
      </c>
      <c r="T17" s="33">
        <f t="shared" si="23"/>
        <v>0</v>
      </c>
      <c r="U17" s="33">
        <f t="shared" si="23"/>
        <v>0</v>
      </c>
      <c r="V17" s="33">
        <f t="shared" si="23"/>
        <v>0</v>
      </c>
      <c r="W17" s="33">
        <f t="shared" si="23"/>
        <v>0</v>
      </c>
      <c r="X17" s="33">
        <f t="shared" si="23"/>
        <v>0</v>
      </c>
      <c r="Y17" s="33">
        <f t="shared" si="23"/>
        <v>0</v>
      </c>
      <c r="Z17" s="33">
        <f t="shared" si="23"/>
        <v>0</v>
      </c>
      <c r="AA17" s="31"/>
      <c r="AB17" s="31"/>
    </row>
    <row r="18" spans="1:28" ht="13.2" x14ac:dyDescent="0.25">
      <c r="A18" s="27">
        <v>1</v>
      </c>
      <c r="B18" s="28" t="s">
        <v>89</v>
      </c>
      <c r="C18" s="27" t="s">
        <v>100</v>
      </c>
      <c r="D18" s="29">
        <v>4</v>
      </c>
      <c r="E18" s="27">
        <f t="shared" si="16"/>
        <v>4</v>
      </c>
      <c r="F18" s="30">
        <f t="shared" si="4"/>
        <v>3</v>
      </c>
      <c r="G18" s="31"/>
      <c r="H18" s="32">
        <f t="shared" si="5"/>
        <v>4</v>
      </c>
      <c r="I18" s="33">
        <f t="shared" si="19"/>
        <v>4</v>
      </c>
      <c r="J18" s="33">
        <f t="shared" ref="J18:Z18" si="24">I18</f>
        <v>4</v>
      </c>
      <c r="K18" s="33">
        <f t="shared" si="24"/>
        <v>4</v>
      </c>
      <c r="L18" s="33">
        <v>3</v>
      </c>
      <c r="M18" s="33">
        <f t="shared" si="24"/>
        <v>3</v>
      </c>
      <c r="N18" s="33">
        <f t="shared" si="24"/>
        <v>3</v>
      </c>
      <c r="O18" s="33">
        <f t="shared" si="24"/>
        <v>3</v>
      </c>
      <c r="P18" s="33">
        <f t="shared" si="24"/>
        <v>3</v>
      </c>
      <c r="Q18" s="33">
        <f t="shared" si="24"/>
        <v>3</v>
      </c>
      <c r="R18" s="33">
        <f t="shared" si="24"/>
        <v>3</v>
      </c>
      <c r="S18" s="33">
        <f t="shared" si="24"/>
        <v>3</v>
      </c>
      <c r="T18" s="33">
        <f t="shared" si="24"/>
        <v>3</v>
      </c>
      <c r="U18" s="33">
        <f t="shared" si="24"/>
        <v>3</v>
      </c>
      <c r="V18" s="33">
        <f t="shared" si="24"/>
        <v>3</v>
      </c>
      <c r="W18" s="33">
        <f t="shared" si="24"/>
        <v>3</v>
      </c>
      <c r="X18" s="33">
        <f t="shared" si="24"/>
        <v>3</v>
      </c>
      <c r="Y18" s="33">
        <f t="shared" si="24"/>
        <v>3</v>
      </c>
      <c r="Z18" s="33">
        <f t="shared" si="24"/>
        <v>3</v>
      </c>
      <c r="AA18" s="31"/>
      <c r="AB18" s="31"/>
    </row>
    <row r="19" spans="1:28" ht="13.2" x14ac:dyDescent="0.25">
      <c r="A19" s="27">
        <v>2</v>
      </c>
      <c r="B19" s="28" t="s">
        <v>90</v>
      </c>
      <c r="C19" s="27" t="s">
        <v>99</v>
      </c>
      <c r="D19" s="29">
        <v>2</v>
      </c>
      <c r="E19" s="27">
        <f t="shared" si="16"/>
        <v>2</v>
      </c>
      <c r="F19" s="30">
        <f t="shared" si="4"/>
        <v>1</v>
      </c>
      <c r="G19" s="31"/>
      <c r="H19" s="32">
        <f t="shared" si="5"/>
        <v>2</v>
      </c>
      <c r="I19" s="33">
        <f t="shared" si="19"/>
        <v>2</v>
      </c>
      <c r="J19" s="33">
        <f t="shared" ref="J19:Z19" si="25">I19</f>
        <v>2</v>
      </c>
      <c r="K19" s="33">
        <v>1</v>
      </c>
      <c r="L19" s="33">
        <f t="shared" si="25"/>
        <v>1</v>
      </c>
      <c r="M19" s="33">
        <f t="shared" si="25"/>
        <v>1</v>
      </c>
      <c r="N19" s="33">
        <f t="shared" si="25"/>
        <v>1</v>
      </c>
      <c r="O19" s="33">
        <f t="shared" si="25"/>
        <v>1</v>
      </c>
      <c r="P19" s="33">
        <f t="shared" si="25"/>
        <v>1</v>
      </c>
      <c r="Q19" s="33">
        <f t="shared" si="25"/>
        <v>1</v>
      </c>
      <c r="R19" s="33">
        <f t="shared" si="25"/>
        <v>1</v>
      </c>
      <c r="S19" s="33">
        <f t="shared" si="25"/>
        <v>1</v>
      </c>
      <c r="T19" s="33">
        <f t="shared" si="25"/>
        <v>1</v>
      </c>
      <c r="U19" s="33">
        <f t="shared" si="25"/>
        <v>1</v>
      </c>
      <c r="V19" s="33">
        <f t="shared" si="25"/>
        <v>1</v>
      </c>
      <c r="W19" s="33">
        <f t="shared" si="25"/>
        <v>1</v>
      </c>
      <c r="X19" s="33">
        <f t="shared" si="25"/>
        <v>1</v>
      </c>
      <c r="Y19" s="33">
        <f t="shared" si="25"/>
        <v>1</v>
      </c>
      <c r="Z19" s="33">
        <f t="shared" si="25"/>
        <v>1</v>
      </c>
      <c r="AA19" s="31"/>
      <c r="AB19" s="31"/>
    </row>
    <row r="20" spans="1:28" ht="13.2" x14ac:dyDescent="0.25">
      <c r="A20" s="27">
        <v>3</v>
      </c>
      <c r="B20" s="28" t="s">
        <v>91</v>
      </c>
      <c r="C20" s="27" t="s">
        <v>100</v>
      </c>
      <c r="D20" s="29">
        <v>2</v>
      </c>
      <c r="E20" s="27">
        <f t="shared" si="16"/>
        <v>2</v>
      </c>
      <c r="F20" s="30">
        <f t="shared" si="4"/>
        <v>2</v>
      </c>
      <c r="G20" s="31"/>
      <c r="H20" s="32">
        <f t="shared" si="5"/>
        <v>2</v>
      </c>
      <c r="I20" s="33">
        <f t="shared" si="19"/>
        <v>2</v>
      </c>
      <c r="J20" s="33">
        <f t="shared" ref="J20:Z20" si="26">I20</f>
        <v>2</v>
      </c>
      <c r="K20" s="33">
        <f t="shared" si="26"/>
        <v>2</v>
      </c>
      <c r="L20" s="33">
        <f t="shared" si="26"/>
        <v>2</v>
      </c>
      <c r="M20" s="33">
        <f t="shared" si="26"/>
        <v>2</v>
      </c>
      <c r="N20" s="33">
        <f t="shared" si="26"/>
        <v>2</v>
      </c>
      <c r="O20" s="33">
        <f t="shared" si="26"/>
        <v>2</v>
      </c>
      <c r="P20" s="33">
        <f t="shared" si="26"/>
        <v>2</v>
      </c>
      <c r="Q20" s="33">
        <f t="shared" si="26"/>
        <v>2</v>
      </c>
      <c r="R20" s="33">
        <f t="shared" si="26"/>
        <v>2</v>
      </c>
      <c r="S20" s="33">
        <f t="shared" si="26"/>
        <v>2</v>
      </c>
      <c r="T20" s="33">
        <f t="shared" si="26"/>
        <v>2</v>
      </c>
      <c r="U20" s="33">
        <f t="shared" si="26"/>
        <v>2</v>
      </c>
      <c r="V20" s="33">
        <f t="shared" si="26"/>
        <v>2</v>
      </c>
      <c r="W20" s="33">
        <f t="shared" si="26"/>
        <v>2</v>
      </c>
      <c r="X20" s="33">
        <f t="shared" si="26"/>
        <v>2</v>
      </c>
      <c r="Y20" s="33">
        <f t="shared" si="26"/>
        <v>2</v>
      </c>
      <c r="Z20" s="33">
        <f t="shared" si="26"/>
        <v>2</v>
      </c>
      <c r="AA20" s="31"/>
      <c r="AB20" s="31"/>
    </row>
    <row r="21" spans="1:28" ht="13.2" x14ac:dyDescent="0.25">
      <c r="A21" s="27"/>
      <c r="B21" s="38"/>
      <c r="C21" s="27"/>
      <c r="D21" s="29"/>
      <c r="E21" s="27">
        <f t="shared" si="16"/>
        <v>0</v>
      </c>
      <c r="F21" s="30">
        <f t="shared" si="4"/>
        <v>0</v>
      </c>
      <c r="G21" s="31"/>
      <c r="H21" s="32">
        <f t="shared" si="5"/>
        <v>0</v>
      </c>
      <c r="I21" s="33">
        <f t="shared" si="19"/>
        <v>0</v>
      </c>
      <c r="J21" s="33">
        <f t="shared" ref="J21:Z21" si="27">I21</f>
        <v>0</v>
      </c>
      <c r="K21" s="33">
        <f t="shared" si="27"/>
        <v>0</v>
      </c>
      <c r="L21" s="33">
        <f t="shared" si="27"/>
        <v>0</v>
      </c>
      <c r="M21" s="33">
        <f t="shared" si="27"/>
        <v>0</v>
      </c>
      <c r="N21" s="33">
        <f t="shared" si="27"/>
        <v>0</v>
      </c>
      <c r="O21" s="33">
        <f t="shared" si="27"/>
        <v>0</v>
      </c>
      <c r="P21" s="33">
        <f t="shared" si="27"/>
        <v>0</v>
      </c>
      <c r="Q21" s="33">
        <f t="shared" si="27"/>
        <v>0</v>
      </c>
      <c r="R21" s="33">
        <f t="shared" si="27"/>
        <v>0</v>
      </c>
      <c r="S21" s="33">
        <f t="shared" si="27"/>
        <v>0</v>
      </c>
      <c r="T21" s="33">
        <f t="shared" si="27"/>
        <v>0</v>
      </c>
      <c r="U21" s="33">
        <f t="shared" si="27"/>
        <v>0</v>
      </c>
      <c r="V21" s="33">
        <f t="shared" si="27"/>
        <v>0</v>
      </c>
      <c r="W21" s="33">
        <f t="shared" si="27"/>
        <v>0</v>
      </c>
      <c r="X21" s="33">
        <f t="shared" si="27"/>
        <v>0</v>
      </c>
      <c r="Y21" s="33">
        <f t="shared" si="27"/>
        <v>0</v>
      </c>
      <c r="Z21" s="33">
        <f t="shared" si="27"/>
        <v>0</v>
      </c>
      <c r="AA21" s="31"/>
      <c r="AB21" s="31"/>
    </row>
    <row r="22" spans="1:28" ht="13.2" x14ac:dyDescent="0.25">
      <c r="A22" s="34"/>
      <c r="B22" s="35" t="s">
        <v>22</v>
      </c>
      <c r="C22" s="36"/>
      <c r="D22" s="29"/>
      <c r="E22" s="27">
        <f t="shared" si="16"/>
        <v>0</v>
      </c>
      <c r="F22" s="30">
        <f t="shared" si="4"/>
        <v>0</v>
      </c>
      <c r="G22" s="31"/>
      <c r="H22" s="32">
        <f t="shared" si="5"/>
        <v>0</v>
      </c>
      <c r="I22" s="33">
        <f t="shared" si="19"/>
        <v>0</v>
      </c>
      <c r="J22" s="33">
        <f t="shared" ref="J22:Z22" si="28">I22</f>
        <v>0</v>
      </c>
      <c r="K22" s="33">
        <f t="shared" si="28"/>
        <v>0</v>
      </c>
      <c r="L22" s="33">
        <f t="shared" si="28"/>
        <v>0</v>
      </c>
      <c r="M22" s="33">
        <f t="shared" si="28"/>
        <v>0</v>
      </c>
      <c r="N22" s="33">
        <f t="shared" si="28"/>
        <v>0</v>
      </c>
      <c r="O22" s="33">
        <f t="shared" si="28"/>
        <v>0</v>
      </c>
      <c r="P22" s="33">
        <f t="shared" si="28"/>
        <v>0</v>
      </c>
      <c r="Q22" s="33">
        <f t="shared" si="28"/>
        <v>0</v>
      </c>
      <c r="R22" s="33">
        <f t="shared" si="28"/>
        <v>0</v>
      </c>
      <c r="S22" s="33">
        <f t="shared" si="28"/>
        <v>0</v>
      </c>
      <c r="T22" s="33">
        <f t="shared" si="28"/>
        <v>0</v>
      </c>
      <c r="U22" s="33">
        <f t="shared" si="28"/>
        <v>0</v>
      </c>
      <c r="V22" s="33">
        <f t="shared" si="28"/>
        <v>0</v>
      </c>
      <c r="W22" s="33">
        <f t="shared" si="28"/>
        <v>0</v>
      </c>
      <c r="X22" s="33">
        <f t="shared" si="28"/>
        <v>0</v>
      </c>
      <c r="Y22" s="33">
        <f t="shared" si="28"/>
        <v>0</v>
      </c>
      <c r="Z22" s="33">
        <f t="shared" si="28"/>
        <v>0</v>
      </c>
      <c r="AA22" s="31"/>
      <c r="AB22" s="31"/>
    </row>
    <row r="23" spans="1:28" ht="13.2" x14ac:dyDescent="0.25">
      <c r="A23" s="27">
        <v>1</v>
      </c>
      <c r="B23" s="28" t="s">
        <v>93</v>
      </c>
      <c r="C23" s="27" t="s">
        <v>99</v>
      </c>
      <c r="D23" s="29">
        <v>1</v>
      </c>
      <c r="E23" s="27">
        <f t="shared" si="16"/>
        <v>1</v>
      </c>
      <c r="F23" s="30">
        <f t="shared" si="4"/>
        <v>1</v>
      </c>
      <c r="G23" s="31"/>
      <c r="H23" s="32">
        <f t="shared" si="5"/>
        <v>1</v>
      </c>
      <c r="I23" s="33">
        <f t="shared" si="19"/>
        <v>1</v>
      </c>
      <c r="J23" s="33">
        <f t="shared" ref="J23:Z23" si="29">I23</f>
        <v>1</v>
      </c>
      <c r="K23" s="33">
        <f t="shared" si="29"/>
        <v>1</v>
      </c>
      <c r="L23" s="33">
        <f t="shared" si="29"/>
        <v>1</v>
      </c>
      <c r="M23" s="33">
        <f t="shared" si="29"/>
        <v>1</v>
      </c>
      <c r="N23" s="33">
        <f t="shared" si="29"/>
        <v>1</v>
      </c>
      <c r="O23" s="33">
        <f t="shared" si="29"/>
        <v>1</v>
      </c>
      <c r="P23" s="33">
        <f t="shared" si="29"/>
        <v>1</v>
      </c>
      <c r="Q23" s="33">
        <f t="shared" si="29"/>
        <v>1</v>
      </c>
      <c r="R23" s="33">
        <f t="shared" si="29"/>
        <v>1</v>
      </c>
      <c r="S23" s="33">
        <f t="shared" si="29"/>
        <v>1</v>
      </c>
      <c r="T23" s="33">
        <f t="shared" si="29"/>
        <v>1</v>
      </c>
      <c r="U23" s="33">
        <f t="shared" si="29"/>
        <v>1</v>
      </c>
      <c r="V23" s="33">
        <f t="shared" si="29"/>
        <v>1</v>
      </c>
      <c r="W23" s="33">
        <f t="shared" si="29"/>
        <v>1</v>
      </c>
      <c r="X23" s="33">
        <f t="shared" si="29"/>
        <v>1</v>
      </c>
      <c r="Y23" s="33">
        <f t="shared" si="29"/>
        <v>1</v>
      </c>
      <c r="Z23" s="33">
        <f t="shared" si="29"/>
        <v>1</v>
      </c>
      <c r="AA23" s="31"/>
      <c r="AB23" s="31"/>
    </row>
    <row r="24" spans="1:28" ht="13.2" x14ac:dyDescent="0.25">
      <c r="A24" s="27">
        <v>3</v>
      </c>
      <c r="B24" s="28" t="s">
        <v>94</v>
      </c>
      <c r="C24" s="27" t="s">
        <v>15</v>
      </c>
      <c r="D24" s="29">
        <v>1</v>
      </c>
      <c r="E24" s="27">
        <v>2</v>
      </c>
      <c r="F24" s="30">
        <f t="shared" si="4"/>
        <v>0</v>
      </c>
      <c r="G24" s="31"/>
      <c r="H24" s="32">
        <f t="shared" si="5"/>
        <v>2</v>
      </c>
      <c r="I24" s="33">
        <f t="shared" si="19"/>
        <v>2</v>
      </c>
      <c r="J24" s="33">
        <f t="shared" ref="J24:L24" si="30">I24</f>
        <v>2</v>
      </c>
      <c r="K24" s="33">
        <f t="shared" si="30"/>
        <v>2</v>
      </c>
      <c r="L24" s="33">
        <f t="shared" si="30"/>
        <v>2</v>
      </c>
      <c r="M24" s="33">
        <v>0</v>
      </c>
      <c r="N24" s="33">
        <f t="shared" ref="N24:Z24" si="31">M24</f>
        <v>0</v>
      </c>
      <c r="O24" s="33">
        <f t="shared" si="31"/>
        <v>0</v>
      </c>
      <c r="P24" s="33">
        <f t="shared" si="31"/>
        <v>0</v>
      </c>
      <c r="Q24" s="33">
        <f t="shared" si="31"/>
        <v>0</v>
      </c>
      <c r="R24" s="33">
        <f t="shared" si="31"/>
        <v>0</v>
      </c>
      <c r="S24" s="33">
        <f t="shared" si="31"/>
        <v>0</v>
      </c>
      <c r="T24" s="33">
        <f t="shared" si="31"/>
        <v>0</v>
      </c>
      <c r="U24" s="33">
        <f t="shared" si="31"/>
        <v>0</v>
      </c>
      <c r="V24" s="33">
        <f t="shared" si="31"/>
        <v>0</v>
      </c>
      <c r="W24" s="33">
        <f t="shared" si="31"/>
        <v>0</v>
      </c>
      <c r="X24" s="33">
        <f t="shared" si="31"/>
        <v>0</v>
      </c>
      <c r="Y24" s="33">
        <f t="shared" si="31"/>
        <v>0</v>
      </c>
      <c r="Z24" s="33">
        <f t="shared" si="31"/>
        <v>0</v>
      </c>
      <c r="AA24" s="31"/>
      <c r="AB24" s="31"/>
    </row>
    <row r="25" spans="1:28" ht="13.2" x14ac:dyDescent="0.25">
      <c r="A25" s="27">
        <v>2</v>
      </c>
      <c r="B25" s="28" t="s">
        <v>95</v>
      </c>
      <c r="C25" s="27" t="s">
        <v>100</v>
      </c>
      <c r="D25" s="29">
        <v>2</v>
      </c>
      <c r="E25" s="27">
        <f t="shared" ref="E25:E100" si="32">D25</f>
        <v>2</v>
      </c>
      <c r="F25" s="30">
        <f t="shared" si="4"/>
        <v>1</v>
      </c>
      <c r="G25" s="31"/>
      <c r="H25" s="32">
        <f t="shared" si="5"/>
        <v>2</v>
      </c>
      <c r="I25" s="33">
        <f t="shared" si="19"/>
        <v>2</v>
      </c>
      <c r="J25" s="33">
        <f t="shared" ref="J25:L25" si="33">I25</f>
        <v>2</v>
      </c>
      <c r="K25" s="33">
        <f t="shared" si="33"/>
        <v>2</v>
      </c>
      <c r="L25" s="33">
        <f t="shared" si="33"/>
        <v>2</v>
      </c>
      <c r="M25" s="33">
        <v>1</v>
      </c>
      <c r="N25" s="33">
        <f t="shared" ref="N25:Z25" si="34">M25</f>
        <v>1</v>
      </c>
      <c r="O25" s="33">
        <f t="shared" si="34"/>
        <v>1</v>
      </c>
      <c r="P25" s="33">
        <f t="shared" si="34"/>
        <v>1</v>
      </c>
      <c r="Q25" s="33">
        <f t="shared" si="34"/>
        <v>1</v>
      </c>
      <c r="R25" s="33">
        <f t="shared" si="34"/>
        <v>1</v>
      </c>
      <c r="S25" s="33">
        <f t="shared" si="34"/>
        <v>1</v>
      </c>
      <c r="T25" s="33">
        <f t="shared" si="34"/>
        <v>1</v>
      </c>
      <c r="U25" s="33">
        <f t="shared" si="34"/>
        <v>1</v>
      </c>
      <c r="V25" s="33">
        <f t="shared" si="34"/>
        <v>1</v>
      </c>
      <c r="W25" s="33">
        <f t="shared" si="34"/>
        <v>1</v>
      </c>
      <c r="X25" s="33">
        <f t="shared" si="34"/>
        <v>1</v>
      </c>
      <c r="Y25" s="33">
        <f t="shared" si="34"/>
        <v>1</v>
      </c>
      <c r="Z25" s="33">
        <f t="shared" si="34"/>
        <v>1</v>
      </c>
      <c r="AA25" s="31"/>
      <c r="AB25" s="31"/>
    </row>
    <row r="26" spans="1:28" ht="13.2" x14ac:dyDescent="0.25">
      <c r="A26" s="27">
        <v>2</v>
      </c>
      <c r="B26" s="28" t="s">
        <v>23</v>
      </c>
      <c r="C26" s="27" t="s">
        <v>100</v>
      </c>
      <c r="D26" s="29">
        <v>1</v>
      </c>
      <c r="E26" s="27">
        <f t="shared" si="32"/>
        <v>1</v>
      </c>
      <c r="F26" s="30">
        <f t="shared" si="4"/>
        <v>1</v>
      </c>
      <c r="G26" s="31"/>
      <c r="H26" s="32">
        <f t="shared" si="5"/>
        <v>1</v>
      </c>
      <c r="I26" s="33">
        <f t="shared" si="19"/>
        <v>1</v>
      </c>
      <c r="J26" s="33">
        <f t="shared" ref="J26:Z26" si="35">I26</f>
        <v>1</v>
      </c>
      <c r="K26" s="33">
        <f t="shared" si="35"/>
        <v>1</v>
      </c>
      <c r="L26" s="33">
        <f t="shared" si="35"/>
        <v>1</v>
      </c>
      <c r="M26" s="33">
        <f t="shared" si="35"/>
        <v>1</v>
      </c>
      <c r="N26" s="33">
        <f t="shared" si="35"/>
        <v>1</v>
      </c>
      <c r="O26" s="33">
        <f t="shared" si="35"/>
        <v>1</v>
      </c>
      <c r="P26" s="33">
        <f t="shared" si="35"/>
        <v>1</v>
      </c>
      <c r="Q26" s="33">
        <f t="shared" si="35"/>
        <v>1</v>
      </c>
      <c r="R26" s="33">
        <f t="shared" si="35"/>
        <v>1</v>
      </c>
      <c r="S26" s="33">
        <f t="shared" si="35"/>
        <v>1</v>
      </c>
      <c r="T26" s="33">
        <f t="shared" si="35"/>
        <v>1</v>
      </c>
      <c r="U26" s="33">
        <f t="shared" si="35"/>
        <v>1</v>
      </c>
      <c r="V26" s="33">
        <f t="shared" si="35"/>
        <v>1</v>
      </c>
      <c r="W26" s="33">
        <f t="shared" si="35"/>
        <v>1</v>
      </c>
      <c r="X26" s="33">
        <f t="shared" si="35"/>
        <v>1</v>
      </c>
      <c r="Y26" s="33">
        <f t="shared" si="35"/>
        <v>1</v>
      </c>
      <c r="Z26" s="33">
        <f t="shared" si="35"/>
        <v>1</v>
      </c>
      <c r="AA26" s="31"/>
      <c r="AB26" s="31"/>
    </row>
    <row r="27" spans="1:28" ht="13.2" x14ac:dyDescent="0.25">
      <c r="A27" s="27"/>
      <c r="B27" s="28"/>
      <c r="C27" s="27"/>
      <c r="D27" s="29"/>
      <c r="E27" s="27">
        <f t="shared" si="32"/>
        <v>0</v>
      </c>
      <c r="F27" s="30">
        <f t="shared" si="4"/>
        <v>0</v>
      </c>
      <c r="G27" s="31"/>
      <c r="H27" s="32">
        <f t="shared" si="5"/>
        <v>0</v>
      </c>
      <c r="I27" s="33">
        <f t="shared" si="19"/>
        <v>0</v>
      </c>
      <c r="J27" s="33">
        <f t="shared" ref="J27:Z27" si="36">I27</f>
        <v>0</v>
      </c>
      <c r="K27" s="33">
        <f t="shared" si="36"/>
        <v>0</v>
      </c>
      <c r="L27" s="33">
        <f t="shared" si="36"/>
        <v>0</v>
      </c>
      <c r="M27" s="33">
        <f t="shared" si="36"/>
        <v>0</v>
      </c>
      <c r="N27" s="33">
        <f t="shared" si="36"/>
        <v>0</v>
      </c>
      <c r="O27" s="33">
        <f t="shared" si="36"/>
        <v>0</v>
      </c>
      <c r="P27" s="33">
        <f t="shared" si="36"/>
        <v>0</v>
      </c>
      <c r="Q27" s="33">
        <f t="shared" si="36"/>
        <v>0</v>
      </c>
      <c r="R27" s="33">
        <f t="shared" si="36"/>
        <v>0</v>
      </c>
      <c r="S27" s="33">
        <f t="shared" si="36"/>
        <v>0</v>
      </c>
      <c r="T27" s="33">
        <f t="shared" si="36"/>
        <v>0</v>
      </c>
      <c r="U27" s="33">
        <f t="shared" si="36"/>
        <v>0</v>
      </c>
      <c r="V27" s="33">
        <f t="shared" si="36"/>
        <v>0</v>
      </c>
      <c r="W27" s="33">
        <f t="shared" si="36"/>
        <v>0</v>
      </c>
      <c r="X27" s="33">
        <f t="shared" si="36"/>
        <v>0</v>
      </c>
      <c r="Y27" s="33">
        <f t="shared" si="36"/>
        <v>0</v>
      </c>
      <c r="Z27" s="33">
        <f t="shared" si="36"/>
        <v>0</v>
      </c>
      <c r="AA27" s="31"/>
      <c r="AB27" s="31"/>
    </row>
    <row r="28" spans="1:28" ht="13.2" x14ac:dyDescent="0.25">
      <c r="A28" s="27"/>
      <c r="B28" s="28" t="s">
        <v>24</v>
      </c>
      <c r="C28" s="27"/>
      <c r="D28" s="29"/>
      <c r="E28" s="27">
        <f t="shared" si="32"/>
        <v>0</v>
      </c>
      <c r="F28" s="30">
        <f t="shared" si="4"/>
        <v>0</v>
      </c>
      <c r="G28" s="31"/>
      <c r="H28" s="32">
        <f t="shared" si="5"/>
        <v>0</v>
      </c>
      <c r="I28" s="33">
        <f t="shared" si="19"/>
        <v>0</v>
      </c>
      <c r="J28" s="33">
        <f t="shared" ref="J28:Z28" si="37">I28</f>
        <v>0</v>
      </c>
      <c r="K28" s="33">
        <f t="shared" si="37"/>
        <v>0</v>
      </c>
      <c r="L28" s="33">
        <f t="shared" si="37"/>
        <v>0</v>
      </c>
      <c r="M28" s="33">
        <f t="shared" si="37"/>
        <v>0</v>
      </c>
      <c r="N28" s="33">
        <f t="shared" si="37"/>
        <v>0</v>
      </c>
      <c r="O28" s="33">
        <f t="shared" si="37"/>
        <v>0</v>
      </c>
      <c r="P28" s="33">
        <f t="shared" si="37"/>
        <v>0</v>
      </c>
      <c r="Q28" s="33">
        <f t="shared" si="37"/>
        <v>0</v>
      </c>
      <c r="R28" s="33">
        <f t="shared" si="37"/>
        <v>0</v>
      </c>
      <c r="S28" s="33">
        <f t="shared" si="37"/>
        <v>0</v>
      </c>
      <c r="T28" s="33">
        <f t="shared" si="37"/>
        <v>0</v>
      </c>
      <c r="U28" s="33">
        <f t="shared" si="37"/>
        <v>0</v>
      </c>
      <c r="V28" s="33">
        <f t="shared" si="37"/>
        <v>0</v>
      </c>
      <c r="W28" s="33">
        <f t="shared" si="37"/>
        <v>0</v>
      </c>
      <c r="X28" s="33">
        <f t="shared" si="37"/>
        <v>0</v>
      </c>
      <c r="Y28" s="33">
        <f t="shared" si="37"/>
        <v>0</v>
      </c>
      <c r="Z28" s="33">
        <f t="shared" si="37"/>
        <v>0</v>
      </c>
      <c r="AA28" s="31"/>
      <c r="AB28" s="31"/>
    </row>
    <row r="29" spans="1:28" ht="13.2" x14ac:dyDescent="0.25">
      <c r="A29" s="27">
        <v>4</v>
      </c>
      <c r="B29" s="28" t="s">
        <v>92</v>
      </c>
      <c r="C29" s="27" t="s">
        <v>99</v>
      </c>
      <c r="D29" s="29">
        <v>5</v>
      </c>
      <c r="E29" s="27">
        <f t="shared" si="32"/>
        <v>5</v>
      </c>
      <c r="F29" s="30">
        <f t="shared" si="4"/>
        <v>3</v>
      </c>
      <c r="G29" s="31"/>
      <c r="H29" s="32">
        <f t="shared" si="5"/>
        <v>5</v>
      </c>
      <c r="I29" s="33">
        <f t="shared" si="19"/>
        <v>5</v>
      </c>
      <c r="J29" s="33">
        <v>3</v>
      </c>
      <c r="K29" s="33">
        <v>3</v>
      </c>
      <c r="L29" s="33">
        <f t="shared" ref="J29:Z29" si="38">K29</f>
        <v>3</v>
      </c>
      <c r="M29" s="33">
        <f t="shared" si="38"/>
        <v>3</v>
      </c>
      <c r="N29" s="33">
        <f t="shared" si="38"/>
        <v>3</v>
      </c>
      <c r="O29" s="33">
        <f t="shared" si="38"/>
        <v>3</v>
      </c>
      <c r="P29" s="33">
        <f t="shared" si="38"/>
        <v>3</v>
      </c>
      <c r="Q29" s="33">
        <f t="shared" si="38"/>
        <v>3</v>
      </c>
      <c r="R29" s="33">
        <f t="shared" si="38"/>
        <v>3</v>
      </c>
      <c r="S29" s="33">
        <f t="shared" si="38"/>
        <v>3</v>
      </c>
      <c r="T29" s="33">
        <f t="shared" si="38"/>
        <v>3</v>
      </c>
      <c r="U29" s="33">
        <f t="shared" si="38"/>
        <v>3</v>
      </c>
      <c r="V29" s="33">
        <f t="shared" si="38"/>
        <v>3</v>
      </c>
      <c r="W29" s="33">
        <f t="shared" si="38"/>
        <v>3</v>
      </c>
      <c r="X29" s="33">
        <f t="shared" si="38"/>
        <v>3</v>
      </c>
      <c r="Y29" s="33">
        <f t="shared" si="38"/>
        <v>3</v>
      </c>
      <c r="Z29" s="33">
        <f t="shared" si="38"/>
        <v>3</v>
      </c>
      <c r="AA29" s="31"/>
      <c r="AB29" s="31"/>
    </row>
    <row r="30" spans="1:28" ht="13.2" x14ac:dyDescent="0.25">
      <c r="A30" s="27"/>
      <c r="B30" s="28"/>
      <c r="C30" s="27"/>
      <c r="D30" s="29"/>
      <c r="E30" s="27">
        <f t="shared" si="32"/>
        <v>0</v>
      </c>
      <c r="F30" s="30">
        <f t="shared" si="4"/>
        <v>0</v>
      </c>
      <c r="G30" s="31"/>
      <c r="H30" s="32">
        <f t="shared" si="5"/>
        <v>0</v>
      </c>
      <c r="I30" s="33">
        <f t="shared" si="19"/>
        <v>0</v>
      </c>
      <c r="J30" s="33">
        <f t="shared" ref="J30:Z30" si="39">I30</f>
        <v>0</v>
      </c>
      <c r="K30" s="33">
        <f t="shared" si="39"/>
        <v>0</v>
      </c>
      <c r="L30" s="33">
        <f t="shared" si="39"/>
        <v>0</v>
      </c>
      <c r="M30" s="33">
        <f t="shared" si="39"/>
        <v>0</v>
      </c>
      <c r="N30" s="33">
        <f t="shared" si="39"/>
        <v>0</v>
      </c>
      <c r="O30" s="33">
        <f t="shared" si="39"/>
        <v>0</v>
      </c>
      <c r="P30" s="33">
        <f t="shared" si="39"/>
        <v>0</v>
      </c>
      <c r="Q30" s="33">
        <f t="shared" si="39"/>
        <v>0</v>
      </c>
      <c r="R30" s="33">
        <f t="shared" si="39"/>
        <v>0</v>
      </c>
      <c r="S30" s="33">
        <f t="shared" si="39"/>
        <v>0</v>
      </c>
      <c r="T30" s="33">
        <f t="shared" si="39"/>
        <v>0</v>
      </c>
      <c r="U30" s="33">
        <f t="shared" si="39"/>
        <v>0</v>
      </c>
      <c r="V30" s="33">
        <f t="shared" si="39"/>
        <v>0</v>
      </c>
      <c r="W30" s="33">
        <f t="shared" si="39"/>
        <v>0</v>
      </c>
      <c r="X30" s="33">
        <f t="shared" si="39"/>
        <v>0</v>
      </c>
      <c r="Y30" s="33">
        <f t="shared" si="39"/>
        <v>0</v>
      </c>
      <c r="Z30" s="33">
        <f t="shared" si="39"/>
        <v>0</v>
      </c>
      <c r="AA30" s="31"/>
      <c r="AB30" s="31"/>
    </row>
    <row r="31" spans="1:28" ht="13.2" x14ac:dyDescent="0.25">
      <c r="A31" s="27"/>
      <c r="B31" s="28"/>
      <c r="C31" s="27"/>
      <c r="D31" s="29"/>
      <c r="E31" s="27">
        <f t="shared" si="32"/>
        <v>0</v>
      </c>
      <c r="F31" s="30">
        <f t="shared" si="4"/>
        <v>0</v>
      </c>
      <c r="G31" s="31"/>
      <c r="H31" s="32">
        <f t="shared" si="5"/>
        <v>0</v>
      </c>
      <c r="I31" s="33">
        <f t="shared" si="19"/>
        <v>0</v>
      </c>
      <c r="J31" s="33">
        <f t="shared" ref="J31:Z31" si="40">I31</f>
        <v>0</v>
      </c>
      <c r="K31" s="33">
        <f t="shared" si="40"/>
        <v>0</v>
      </c>
      <c r="L31" s="33">
        <f t="shared" si="40"/>
        <v>0</v>
      </c>
      <c r="M31" s="33">
        <f t="shared" si="40"/>
        <v>0</v>
      </c>
      <c r="N31" s="33">
        <f t="shared" si="40"/>
        <v>0</v>
      </c>
      <c r="O31" s="33">
        <f t="shared" si="40"/>
        <v>0</v>
      </c>
      <c r="P31" s="33">
        <f t="shared" si="40"/>
        <v>0</v>
      </c>
      <c r="Q31" s="33">
        <f t="shared" si="40"/>
        <v>0</v>
      </c>
      <c r="R31" s="33">
        <f t="shared" si="40"/>
        <v>0</v>
      </c>
      <c r="S31" s="33">
        <f t="shared" si="40"/>
        <v>0</v>
      </c>
      <c r="T31" s="33">
        <f t="shared" si="40"/>
        <v>0</v>
      </c>
      <c r="U31" s="33">
        <f t="shared" si="40"/>
        <v>0</v>
      </c>
      <c r="V31" s="33">
        <f t="shared" si="40"/>
        <v>0</v>
      </c>
      <c r="W31" s="33">
        <f t="shared" si="40"/>
        <v>0</v>
      </c>
      <c r="X31" s="33">
        <f t="shared" si="40"/>
        <v>0</v>
      </c>
      <c r="Y31" s="33">
        <f t="shared" si="40"/>
        <v>0</v>
      </c>
      <c r="Z31" s="33">
        <f t="shared" si="40"/>
        <v>0</v>
      </c>
      <c r="AA31" s="31"/>
      <c r="AB31" s="31"/>
    </row>
    <row r="32" spans="1:28" ht="13.2" x14ac:dyDescent="0.25">
      <c r="A32" s="27"/>
      <c r="B32" s="28"/>
      <c r="C32" s="27"/>
      <c r="D32" s="29"/>
      <c r="E32" s="27">
        <f t="shared" si="32"/>
        <v>0</v>
      </c>
      <c r="F32" s="30">
        <f t="shared" si="4"/>
        <v>0</v>
      </c>
      <c r="G32" s="31"/>
      <c r="H32" s="32">
        <f t="shared" si="5"/>
        <v>0</v>
      </c>
      <c r="I32" s="33">
        <f t="shared" si="19"/>
        <v>0</v>
      </c>
      <c r="J32" s="33">
        <f t="shared" ref="J32:Z32" si="41">I32</f>
        <v>0</v>
      </c>
      <c r="K32" s="33">
        <f t="shared" si="41"/>
        <v>0</v>
      </c>
      <c r="L32" s="33">
        <f t="shared" si="41"/>
        <v>0</v>
      </c>
      <c r="M32" s="33">
        <f t="shared" si="41"/>
        <v>0</v>
      </c>
      <c r="N32" s="33">
        <f t="shared" si="41"/>
        <v>0</v>
      </c>
      <c r="O32" s="33">
        <f t="shared" si="41"/>
        <v>0</v>
      </c>
      <c r="P32" s="33">
        <f t="shared" si="41"/>
        <v>0</v>
      </c>
      <c r="Q32" s="33">
        <f t="shared" si="41"/>
        <v>0</v>
      </c>
      <c r="R32" s="33">
        <f t="shared" si="41"/>
        <v>0</v>
      </c>
      <c r="S32" s="33">
        <f t="shared" si="41"/>
        <v>0</v>
      </c>
      <c r="T32" s="33">
        <f t="shared" si="41"/>
        <v>0</v>
      </c>
      <c r="U32" s="33">
        <f t="shared" si="41"/>
        <v>0</v>
      </c>
      <c r="V32" s="33">
        <f t="shared" si="41"/>
        <v>0</v>
      </c>
      <c r="W32" s="33">
        <f t="shared" si="41"/>
        <v>0</v>
      </c>
      <c r="X32" s="33">
        <f t="shared" si="41"/>
        <v>0</v>
      </c>
      <c r="Y32" s="33">
        <f t="shared" si="41"/>
        <v>0</v>
      </c>
      <c r="Z32" s="33">
        <f t="shared" si="41"/>
        <v>0</v>
      </c>
      <c r="AA32" s="31"/>
      <c r="AB32" s="31"/>
    </row>
    <row r="33" spans="1:28" ht="13.2" x14ac:dyDescent="0.25">
      <c r="A33" s="27"/>
      <c r="B33" s="28"/>
      <c r="C33" s="27"/>
      <c r="D33" s="29"/>
      <c r="E33" s="27">
        <f t="shared" si="32"/>
        <v>0</v>
      </c>
      <c r="F33" s="30">
        <f t="shared" si="4"/>
        <v>0</v>
      </c>
      <c r="G33" s="31"/>
      <c r="H33" s="32">
        <f t="shared" si="5"/>
        <v>0</v>
      </c>
      <c r="I33" s="33">
        <f t="shared" si="19"/>
        <v>0</v>
      </c>
      <c r="J33" s="33">
        <f t="shared" ref="J33:Z33" si="42">I33</f>
        <v>0</v>
      </c>
      <c r="K33" s="33">
        <f t="shared" si="42"/>
        <v>0</v>
      </c>
      <c r="L33" s="33">
        <f t="shared" si="42"/>
        <v>0</v>
      </c>
      <c r="M33" s="33">
        <f t="shared" si="42"/>
        <v>0</v>
      </c>
      <c r="N33" s="33">
        <f t="shared" si="42"/>
        <v>0</v>
      </c>
      <c r="O33" s="33">
        <f t="shared" si="42"/>
        <v>0</v>
      </c>
      <c r="P33" s="33">
        <f t="shared" si="42"/>
        <v>0</v>
      </c>
      <c r="Q33" s="33">
        <f t="shared" si="42"/>
        <v>0</v>
      </c>
      <c r="R33" s="33">
        <f t="shared" si="42"/>
        <v>0</v>
      </c>
      <c r="S33" s="33">
        <f t="shared" si="42"/>
        <v>0</v>
      </c>
      <c r="T33" s="33">
        <f t="shared" si="42"/>
        <v>0</v>
      </c>
      <c r="U33" s="33">
        <f t="shared" si="42"/>
        <v>0</v>
      </c>
      <c r="V33" s="33">
        <f t="shared" si="42"/>
        <v>0</v>
      </c>
      <c r="W33" s="33">
        <f t="shared" si="42"/>
        <v>0</v>
      </c>
      <c r="X33" s="33">
        <f t="shared" si="42"/>
        <v>0</v>
      </c>
      <c r="Y33" s="33">
        <f t="shared" si="42"/>
        <v>0</v>
      </c>
      <c r="Z33" s="33">
        <f t="shared" si="42"/>
        <v>0</v>
      </c>
      <c r="AA33" s="31"/>
      <c r="AB33" s="31"/>
    </row>
    <row r="34" spans="1:28" ht="13.2" x14ac:dyDescent="0.25">
      <c r="A34" s="27"/>
      <c r="B34" s="28"/>
      <c r="C34" s="27"/>
      <c r="D34" s="29"/>
      <c r="E34" s="27">
        <f t="shared" si="32"/>
        <v>0</v>
      </c>
      <c r="F34" s="30">
        <f t="shared" si="4"/>
        <v>0</v>
      </c>
      <c r="G34" s="31"/>
      <c r="H34" s="32">
        <f t="shared" si="5"/>
        <v>0</v>
      </c>
      <c r="I34" s="33">
        <f t="shared" si="19"/>
        <v>0</v>
      </c>
      <c r="J34" s="33">
        <f t="shared" ref="J34:Z34" si="43">I34</f>
        <v>0</v>
      </c>
      <c r="K34" s="33">
        <f t="shared" si="43"/>
        <v>0</v>
      </c>
      <c r="L34" s="33">
        <f t="shared" si="43"/>
        <v>0</v>
      </c>
      <c r="M34" s="33">
        <f t="shared" si="43"/>
        <v>0</v>
      </c>
      <c r="N34" s="33">
        <f t="shared" si="43"/>
        <v>0</v>
      </c>
      <c r="O34" s="33">
        <f t="shared" si="43"/>
        <v>0</v>
      </c>
      <c r="P34" s="33">
        <f t="shared" si="43"/>
        <v>0</v>
      </c>
      <c r="Q34" s="33">
        <f t="shared" si="43"/>
        <v>0</v>
      </c>
      <c r="R34" s="33">
        <f t="shared" si="43"/>
        <v>0</v>
      </c>
      <c r="S34" s="33">
        <f t="shared" si="43"/>
        <v>0</v>
      </c>
      <c r="T34" s="33">
        <f t="shared" si="43"/>
        <v>0</v>
      </c>
      <c r="U34" s="33">
        <f t="shared" si="43"/>
        <v>0</v>
      </c>
      <c r="V34" s="33">
        <f t="shared" si="43"/>
        <v>0</v>
      </c>
      <c r="W34" s="33">
        <f t="shared" si="43"/>
        <v>0</v>
      </c>
      <c r="X34" s="33">
        <f t="shared" si="43"/>
        <v>0</v>
      </c>
      <c r="Y34" s="33">
        <f t="shared" si="43"/>
        <v>0</v>
      </c>
      <c r="Z34" s="33">
        <f t="shared" si="43"/>
        <v>0</v>
      </c>
      <c r="AA34" s="31"/>
      <c r="AB34" s="31"/>
    </row>
    <row r="35" spans="1:28" ht="13.2" x14ac:dyDescent="0.25">
      <c r="A35" s="27"/>
      <c r="B35" s="28"/>
      <c r="C35" s="27"/>
      <c r="D35" s="29"/>
      <c r="E35" s="27">
        <f t="shared" si="32"/>
        <v>0</v>
      </c>
      <c r="F35" s="30">
        <f t="shared" si="4"/>
        <v>0</v>
      </c>
      <c r="G35" s="31"/>
      <c r="H35" s="32">
        <f t="shared" si="5"/>
        <v>0</v>
      </c>
      <c r="I35" s="33">
        <f t="shared" si="19"/>
        <v>0</v>
      </c>
      <c r="J35" s="33">
        <f t="shared" ref="J35:Z35" si="44">I35</f>
        <v>0</v>
      </c>
      <c r="K35" s="33">
        <f t="shared" si="44"/>
        <v>0</v>
      </c>
      <c r="L35" s="33">
        <f t="shared" si="44"/>
        <v>0</v>
      </c>
      <c r="M35" s="33">
        <f t="shared" si="44"/>
        <v>0</v>
      </c>
      <c r="N35" s="33">
        <f t="shared" si="44"/>
        <v>0</v>
      </c>
      <c r="O35" s="33">
        <f t="shared" si="44"/>
        <v>0</v>
      </c>
      <c r="P35" s="33">
        <f t="shared" si="44"/>
        <v>0</v>
      </c>
      <c r="Q35" s="33">
        <f t="shared" si="44"/>
        <v>0</v>
      </c>
      <c r="R35" s="33">
        <f t="shared" si="44"/>
        <v>0</v>
      </c>
      <c r="S35" s="33">
        <f t="shared" si="44"/>
        <v>0</v>
      </c>
      <c r="T35" s="33">
        <f t="shared" si="44"/>
        <v>0</v>
      </c>
      <c r="U35" s="33">
        <f t="shared" si="44"/>
        <v>0</v>
      </c>
      <c r="V35" s="33">
        <f t="shared" si="44"/>
        <v>0</v>
      </c>
      <c r="W35" s="33">
        <f t="shared" si="44"/>
        <v>0</v>
      </c>
      <c r="X35" s="33">
        <f t="shared" si="44"/>
        <v>0</v>
      </c>
      <c r="Y35" s="33">
        <f t="shared" si="44"/>
        <v>0</v>
      </c>
      <c r="Z35" s="33">
        <f t="shared" si="44"/>
        <v>0</v>
      </c>
      <c r="AA35" s="31"/>
      <c r="AB35" s="31"/>
    </row>
    <row r="36" spans="1:28" ht="13.2" x14ac:dyDescent="0.25">
      <c r="A36" s="27"/>
      <c r="B36" s="28"/>
      <c r="C36" s="27"/>
      <c r="D36" s="29"/>
      <c r="E36" s="27">
        <f t="shared" si="32"/>
        <v>0</v>
      </c>
      <c r="F36" s="30">
        <f t="shared" si="4"/>
        <v>0</v>
      </c>
      <c r="G36" s="31"/>
      <c r="H36" s="32">
        <f t="shared" si="5"/>
        <v>0</v>
      </c>
      <c r="I36" s="33">
        <f t="shared" si="19"/>
        <v>0</v>
      </c>
      <c r="J36" s="33">
        <f t="shared" ref="J36:Z36" si="45">I36</f>
        <v>0</v>
      </c>
      <c r="K36" s="33">
        <f t="shared" si="45"/>
        <v>0</v>
      </c>
      <c r="L36" s="33">
        <f t="shared" si="45"/>
        <v>0</v>
      </c>
      <c r="M36" s="33">
        <f t="shared" si="45"/>
        <v>0</v>
      </c>
      <c r="N36" s="33">
        <f t="shared" si="45"/>
        <v>0</v>
      </c>
      <c r="O36" s="33">
        <f t="shared" si="45"/>
        <v>0</v>
      </c>
      <c r="P36" s="33">
        <f t="shared" si="45"/>
        <v>0</v>
      </c>
      <c r="Q36" s="33">
        <f t="shared" si="45"/>
        <v>0</v>
      </c>
      <c r="R36" s="33">
        <f t="shared" si="45"/>
        <v>0</v>
      </c>
      <c r="S36" s="33">
        <f t="shared" si="45"/>
        <v>0</v>
      </c>
      <c r="T36" s="33">
        <f t="shared" si="45"/>
        <v>0</v>
      </c>
      <c r="U36" s="33">
        <f t="shared" si="45"/>
        <v>0</v>
      </c>
      <c r="V36" s="33">
        <f t="shared" si="45"/>
        <v>0</v>
      </c>
      <c r="W36" s="33">
        <f t="shared" si="45"/>
        <v>0</v>
      </c>
      <c r="X36" s="33">
        <f t="shared" si="45"/>
        <v>0</v>
      </c>
      <c r="Y36" s="33">
        <f t="shared" si="45"/>
        <v>0</v>
      </c>
      <c r="Z36" s="33">
        <f t="shared" si="45"/>
        <v>0</v>
      </c>
      <c r="AA36" s="31"/>
      <c r="AB36" s="31"/>
    </row>
    <row r="37" spans="1:28" ht="13.2" x14ac:dyDescent="0.25">
      <c r="A37" s="27"/>
      <c r="B37" s="28"/>
      <c r="C37" s="27"/>
      <c r="D37" s="29"/>
      <c r="E37" s="27">
        <f t="shared" si="32"/>
        <v>0</v>
      </c>
      <c r="F37" s="30">
        <f t="shared" si="4"/>
        <v>0</v>
      </c>
      <c r="G37" s="31"/>
      <c r="H37" s="32">
        <f t="shared" si="5"/>
        <v>0</v>
      </c>
      <c r="I37" s="33">
        <f t="shared" si="19"/>
        <v>0</v>
      </c>
      <c r="J37" s="33">
        <f t="shared" ref="J37:Z37" si="46">I37</f>
        <v>0</v>
      </c>
      <c r="K37" s="33">
        <f t="shared" si="46"/>
        <v>0</v>
      </c>
      <c r="L37" s="33">
        <f t="shared" si="46"/>
        <v>0</v>
      </c>
      <c r="M37" s="33">
        <f t="shared" si="46"/>
        <v>0</v>
      </c>
      <c r="N37" s="33">
        <f t="shared" si="46"/>
        <v>0</v>
      </c>
      <c r="O37" s="33">
        <f t="shared" si="46"/>
        <v>0</v>
      </c>
      <c r="P37" s="33">
        <f t="shared" si="46"/>
        <v>0</v>
      </c>
      <c r="Q37" s="33">
        <f t="shared" si="46"/>
        <v>0</v>
      </c>
      <c r="R37" s="33">
        <f t="shared" si="46"/>
        <v>0</v>
      </c>
      <c r="S37" s="33">
        <f t="shared" si="46"/>
        <v>0</v>
      </c>
      <c r="T37" s="33">
        <f t="shared" si="46"/>
        <v>0</v>
      </c>
      <c r="U37" s="33">
        <f t="shared" si="46"/>
        <v>0</v>
      </c>
      <c r="V37" s="33">
        <f t="shared" si="46"/>
        <v>0</v>
      </c>
      <c r="W37" s="33">
        <f t="shared" si="46"/>
        <v>0</v>
      </c>
      <c r="X37" s="33">
        <f t="shared" si="46"/>
        <v>0</v>
      </c>
      <c r="Y37" s="33">
        <f t="shared" si="46"/>
        <v>0</v>
      </c>
      <c r="Z37" s="33">
        <f t="shared" si="46"/>
        <v>0</v>
      </c>
      <c r="AA37" s="31"/>
      <c r="AB37" s="31"/>
    </row>
    <row r="38" spans="1:28" ht="13.2" x14ac:dyDescent="0.25">
      <c r="A38" s="27"/>
      <c r="B38" s="28"/>
      <c r="C38" s="27"/>
      <c r="D38" s="29"/>
      <c r="E38" s="27">
        <f t="shared" si="32"/>
        <v>0</v>
      </c>
      <c r="F38" s="30">
        <f t="shared" si="4"/>
        <v>0</v>
      </c>
      <c r="G38" s="31"/>
      <c r="H38" s="32">
        <f t="shared" si="5"/>
        <v>0</v>
      </c>
      <c r="I38" s="33">
        <f t="shared" si="19"/>
        <v>0</v>
      </c>
      <c r="J38" s="33">
        <f t="shared" ref="J38:Z38" si="47">I38</f>
        <v>0</v>
      </c>
      <c r="K38" s="33">
        <f t="shared" si="47"/>
        <v>0</v>
      </c>
      <c r="L38" s="33">
        <f t="shared" si="47"/>
        <v>0</v>
      </c>
      <c r="M38" s="33">
        <f t="shared" si="47"/>
        <v>0</v>
      </c>
      <c r="N38" s="33">
        <f t="shared" si="47"/>
        <v>0</v>
      </c>
      <c r="O38" s="33">
        <f t="shared" si="47"/>
        <v>0</v>
      </c>
      <c r="P38" s="33">
        <f t="shared" si="47"/>
        <v>0</v>
      </c>
      <c r="Q38" s="33">
        <f t="shared" si="47"/>
        <v>0</v>
      </c>
      <c r="R38" s="33">
        <f t="shared" si="47"/>
        <v>0</v>
      </c>
      <c r="S38" s="33">
        <f t="shared" si="47"/>
        <v>0</v>
      </c>
      <c r="T38" s="33">
        <f t="shared" si="47"/>
        <v>0</v>
      </c>
      <c r="U38" s="33">
        <f t="shared" si="47"/>
        <v>0</v>
      </c>
      <c r="V38" s="33">
        <f t="shared" si="47"/>
        <v>0</v>
      </c>
      <c r="W38" s="33">
        <f t="shared" si="47"/>
        <v>0</v>
      </c>
      <c r="X38" s="33">
        <f t="shared" si="47"/>
        <v>0</v>
      </c>
      <c r="Y38" s="33">
        <f t="shared" si="47"/>
        <v>0</v>
      </c>
      <c r="Z38" s="33">
        <f t="shared" si="47"/>
        <v>0</v>
      </c>
      <c r="AA38" s="31"/>
      <c r="AB38" s="31"/>
    </row>
    <row r="39" spans="1:28" ht="13.2" x14ac:dyDescent="0.25">
      <c r="A39" s="27"/>
      <c r="B39" s="28"/>
      <c r="C39" s="27"/>
      <c r="D39" s="29"/>
      <c r="E39" s="27">
        <f t="shared" si="32"/>
        <v>0</v>
      </c>
      <c r="F39" s="30">
        <f t="shared" si="4"/>
        <v>0</v>
      </c>
      <c r="G39" s="31"/>
      <c r="H39" s="32">
        <f t="shared" si="5"/>
        <v>0</v>
      </c>
      <c r="I39" s="33">
        <f t="shared" si="19"/>
        <v>0</v>
      </c>
      <c r="J39" s="33">
        <f t="shared" ref="J39:Z39" si="48">I39</f>
        <v>0</v>
      </c>
      <c r="K39" s="33">
        <f t="shared" si="48"/>
        <v>0</v>
      </c>
      <c r="L39" s="33">
        <f t="shared" si="48"/>
        <v>0</v>
      </c>
      <c r="M39" s="33">
        <f t="shared" si="48"/>
        <v>0</v>
      </c>
      <c r="N39" s="33">
        <f t="shared" si="48"/>
        <v>0</v>
      </c>
      <c r="O39" s="33">
        <f t="shared" si="48"/>
        <v>0</v>
      </c>
      <c r="P39" s="33">
        <f t="shared" si="48"/>
        <v>0</v>
      </c>
      <c r="Q39" s="33">
        <f t="shared" si="48"/>
        <v>0</v>
      </c>
      <c r="R39" s="33">
        <f t="shared" si="48"/>
        <v>0</v>
      </c>
      <c r="S39" s="33">
        <f t="shared" si="48"/>
        <v>0</v>
      </c>
      <c r="T39" s="33">
        <f t="shared" si="48"/>
        <v>0</v>
      </c>
      <c r="U39" s="33">
        <f t="shared" si="48"/>
        <v>0</v>
      </c>
      <c r="V39" s="33">
        <f t="shared" si="48"/>
        <v>0</v>
      </c>
      <c r="W39" s="33">
        <f t="shared" si="48"/>
        <v>0</v>
      </c>
      <c r="X39" s="33">
        <f t="shared" si="48"/>
        <v>0</v>
      </c>
      <c r="Y39" s="33">
        <f t="shared" si="48"/>
        <v>0</v>
      </c>
      <c r="Z39" s="33">
        <f t="shared" si="48"/>
        <v>0</v>
      </c>
      <c r="AA39" s="31"/>
      <c r="AB39" s="31"/>
    </row>
    <row r="40" spans="1:28" ht="13.2" x14ac:dyDescent="0.25">
      <c r="A40" s="27"/>
      <c r="B40" s="28"/>
      <c r="C40" s="27"/>
      <c r="D40" s="29"/>
      <c r="E40" s="27">
        <f t="shared" si="32"/>
        <v>0</v>
      </c>
      <c r="F40" s="30">
        <f t="shared" si="4"/>
        <v>0</v>
      </c>
      <c r="G40" s="31"/>
      <c r="H40" s="32">
        <f t="shared" si="5"/>
        <v>0</v>
      </c>
      <c r="I40" s="33">
        <f t="shared" si="19"/>
        <v>0</v>
      </c>
      <c r="J40" s="33">
        <f t="shared" ref="J40:Z40" si="49">I40</f>
        <v>0</v>
      </c>
      <c r="K40" s="33">
        <f t="shared" si="49"/>
        <v>0</v>
      </c>
      <c r="L40" s="33">
        <f t="shared" si="49"/>
        <v>0</v>
      </c>
      <c r="M40" s="33">
        <f t="shared" si="49"/>
        <v>0</v>
      </c>
      <c r="N40" s="33">
        <f t="shared" si="49"/>
        <v>0</v>
      </c>
      <c r="O40" s="33">
        <f t="shared" si="49"/>
        <v>0</v>
      </c>
      <c r="P40" s="33">
        <f t="shared" si="49"/>
        <v>0</v>
      </c>
      <c r="Q40" s="33">
        <f t="shared" si="49"/>
        <v>0</v>
      </c>
      <c r="R40" s="33">
        <f t="shared" si="49"/>
        <v>0</v>
      </c>
      <c r="S40" s="33">
        <f t="shared" si="49"/>
        <v>0</v>
      </c>
      <c r="T40" s="33">
        <f t="shared" si="49"/>
        <v>0</v>
      </c>
      <c r="U40" s="33">
        <f t="shared" si="49"/>
        <v>0</v>
      </c>
      <c r="V40" s="33">
        <f t="shared" si="49"/>
        <v>0</v>
      </c>
      <c r="W40" s="33">
        <f t="shared" si="49"/>
        <v>0</v>
      </c>
      <c r="X40" s="33">
        <f t="shared" si="49"/>
        <v>0</v>
      </c>
      <c r="Y40" s="33">
        <f t="shared" si="49"/>
        <v>0</v>
      </c>
      <c r="Z40" s="33">
        <f t="shared" si="49"/>
        <v>0</v>
      </c>
      <c r="AA40" s="31"/>
      <c r="AB40" s="31"/>
    </row>
    <row r="41" spans="1:28" ht="13.2" x14ac:dyDescent="0.25">
      <c r="A41" s="27"/>
      <c r="B41" s="28"/>
      <c r="C41" s="27"/>
      <c r="D41" s="29"/>
      <c r="E41" s="27">
        <f t="shared" si="32"/>
        <v>0</v>
      </c>
      <c r="F41" s="30">
        <f t="shared" si="4"/>
        <v>0</v>
      </c>
      <c r="G41" s="31"/>
      <c r="H41" s="32">
        <f t="shared" si="5"/>
        <v>0</v>
      </c>
      <c r="I41" s="33">
        <f t="shared" si="19"/>
        <v>0</v>
      </c>
      <c r="J41" s="33">
        <f t="shared" ref="J41:Z41" si="50">I41</f>
        <v>0</v>
      </c>
      <c r="K41" s="33">
        <f t="shared" si="50"/>
        <v>0</v>
      </c>
      <c r="L41" s="33">
        <f t="shared" si="50"/>
        <v>0</v>
      </c>
      <c r="M41" s="33">
        <f t="shared" si="50"/>
        <v>0</v>
      </c>
      <c r="N41" s="33">
        <f t="shared" si="50"/>
        <v>0</v>
      </c>
      <c r="O41" s="33">
        <f t="shared" si="50"/>
        <v>0</v>
      </c>
      <c r="P41" s="33">
        <f t="shared" si="50"/>
        <v>0</v>
      </c>
      <c r="Q41" s="33">
        <f t="shared" si="50"/>
        <v>0</v>
      </c>
      <c r="R41" s="33">
        <f t="shared" si="50"/>
        <v>0</v>
      </c>
      <c r="S41" s="33">
        <f t="shared" si="50"/>
        <v>0</v>
      </c>
      <c r="T41" s="33">
        <f t="shared" si="50"/>
        <v>0</v>
      </c>
      <c r="U41" s="33">
        <f t="shared" si="50"/>
        <v>0</v>
      </c>
      <c r="V41" s="33">
        <f t="shared" si="50"/>
        <v>0</v>
      </c>
      <c r="W41" s="33">
        <f t="shared" si="50"/>
        <v>0</v>
      </c>
      <c r="X41" s="33">
        <f t="shared" si="50"/>
        <v>0</v>
      </c>
      <c r="Y41" s="33">
        <f t="shared" si="50"/>
        <v>0</v>
      </c>
      <c r="Z41" s="33">
        <f t="shared" si="50"/>
        <v>0</v>
      </c>
      <c r="AA41" s="31"/>
      <c r="AB41" s="31"/>
    </row>
    <row r="42" spans="1:28" ht="13.2" x14ac:dyDescent="0.25">
      <c r="A42" s="27"/>
      <c r="B42" s="28"/>
      <c r="C42" s="27"/>
      <c r="D42" s="29"/>
      <c r="E42" s="27">
        <f t="shared" si="32"/>
        <v>0</v>
      </c>
      <c r="F42" s="30">
        <f t="shared" si="4"/>
        <v>0</v>
      </c>
      <c r="G42" s="31"/>
      <c r="H42" s="32">
        <f t="shared" si="5"/>
        <v>0</v>
      </c>
      <c r="I42" s="33">
        <f t="shared" si="19"/>
        <v>0</v>
      </c>
      <c r="J42" s="33">
        <f t="shared" ref="J42:Z42" si="51">I42</f>
        <v>0</v>
      </c>
      <c r="K42" s="33">
        <f t="shared" si="51"/>
        <v>0</v>
      </c>
      <c r="L42" s="33">
        <f t="shared" si="51"/>
        <v>0</v>
      </c>
      <c r="M42" s="33">
        <f t="shared" si="51"/>
        <v>0</v>
      </c>
      <c r="N42" s="33">
        <f t="shared" si="51"/>
        <v>0</v>
      </c>
      <c r="O42" s="33">
        <f t="shared" si="51"/>
        <v>0</v>
      </c>
      <c r="P42" s="33">
        <f t="shared" si="51"/>
        <v>0</v>
      </c>
      <c r="Q42" s="33">
        <f t="shared" si="51"/>
        <v>0</v>
      </c>
      <c r="R42" s="33">
        <f t="shared" si="51"/>
        <v>0</v>
      </c>
      <c r="S42" s="33">
        <f t="shared" si="51"/>
        <v>0</v>
      </c>
      <c r="T42" s="33">
        <f t="shared" si="51"/>
        <v>0</v>
      </c>
      <c r="U42" s="33">
        <f t="shared" si="51"/>
        <v>0</v>
      </c>
      <c r="V42" s="33">
        <f t="shared" si="51"/>
        <v>0</v>
      </c>
      <c r="W42" s="33">
        <f t="shared" si="51"/>
        <v>0</v>
      </c>
      <c r="X42" s="33">
        <f t="shared" si="51"/>
        <v>0</v>
      </c>
      <c r="Y42" s="33">
        <f t="shared" si="51"/>
        <v>0</v>
      </c>
      <c r="Z42" s="33">
        <f t="shared" si="51"/>
        <v>0</v>
      </c>
      <c r="AA42" s="31"/>
      <c r="AB42" s="31"/>
    </row>
    <row r="43" spans="1:28" ht="13.2" x14ac:dyDescent="0.25">
      <c r="A43" s="27"/>
      <c r="B43" s="28"/>
      <c r="C43" s="27"/>
      <c r="D43" s="29"/>
      <c r="E43" s="27">
        <f t="shared" si="32"/>
        <v>0</v>
      </c>
      <c r="F43" s="30">
        <f t="shared" si="4"/>
        <v>0</v>
      </c>
      <c r="G43" s="31"/>
      <c r="H43" s="32">
        <f t="shared" si="5"/>
        <v>0</v>
      </c>
      <c r="I43" s="33">
        <f t="shared" si="19"/>
        <v>0</v>
      </c>
      <c r="J43" s="33">
        <f t="shared" ref="J43:Z43" si="52">I43</f>
        <v>0</v>
      </c>
      <c r="K43" s="33">
        <f t="shared" si="52"/>
        <v>0</v>
      </c>
      <c r="L43" s="33">
        <f t="shared" si="52"/>
        <v>0</v>
      </c>
      <c r="M43" s="33">
        <f t="shared" si="52"/>
        <v>0</v>
      </c>
      <c r="N43" s="33">
        <f t="shared" si="52"/>
        <v>0</v>
      </c>
      <c r="O43" s="33">
        <f t="shared" si="52"/>
        <v>0</v>
      </c>
      <c r="P43" s="33">
        <f t="shared" si="52"/>
        <v>0</v>
      </c>
      <c r="Q43" s="33">
        <f t="shared" si="52"/>
        <v>0</v>
      </c>
      <c r="R43" s="33">
        <f t="shared" si="52"/>
        <v>0</v>
      </c>
      <c r="S43" s="33">
        <f t="shared" si="52"/>
        <v>0</v>
      </c>
      <c r="T43" s="33">
        <f t="shared" si="52"/>
        <v>0</v>
      </c>
      <c r="U43" s="33">
        <f t="shared" si="52"/>
        <v>0</v>
      </c>
      <c r="V43" s="33">
        <f t="shared" si="52"/>
        <v>0</v>
      </c>
      <c r="W43" s="33">
        <f t="shared" si="52"/>
        <v>0</v>
      </c>
      <c r="X43" s="33">
        <f t="shared" si="52"/>
        <v>0</v>
      </c>
      <c r="Y43" s="33">
        <f t="shared" si="52"/>
        <v>0</v>
      </c>
      <c r="Z43" s="33">
        <f t="shared" si="52"/>
        <v>0</v>
      </c>
      <c r="AA43" s="31"/>
      <c r="AB43" s="31"/>
    </row>
    <row r="44" spans="1:28" ht="13.2" x14ac:dyDescent="0.25">
      <c r="A44" s="27"/>
      <c r="B44" s="28"/>
      <c r="C44" s="27"/>
      <c r="D44" s="29"/>
      <c r="E44" s="27">
        <f t="shared" si="32"/>
        <v>0</v>
      </c>
      <c r="F44" s="30">
        <f t="shared" si="4"/>
        <v>0</v>
      </c>
      <c r="G44" s="31"/>
      <c r="H44" s="32">
        <f t="shared" si="5"/>
        <v>0</v>
      </c>
      <c r="I44" s="33">
        <f t="shared" si="19"/>
        <v>0</v>
      </c>
      <c r="J44" s="33">
        <f t="shared" ref="J44:Z44" si="53">I44</f>
        <v>0</v>
      </c>
      <c r="K44" s="33">
        <f t="shared" si="53"/>
        <v>0</v>
      </c>
      <c r="L44" s="33">
        <f t="shared" si="53"/>
        <v>0</v>
      </c>
      <c r="M44" s="33">
        <f t="shared" si="53"/>
        <v>0</v>
      </c>
      <c r="N44" s="33">
        <f t="shared" si="53"/>
        <v>0</v>
      </c>
      <c r="O44" s="33">
        <f t="shared" si="53"/>
        <v>0</v>
      </c>
      <c r="P44" s="33">
        <f t="shared" si="53"/>
        <v>0</v>
      </c>
      <c r="Q44" s="33">
        <f t="shared" si="53"/>
        <v>0</v>
      </c>
      <c r="R44" s="33">
        <f t="shared" si="53"/>
        <v>0</v>
      </c>
      <c r="S44" s="33">
        <f t="shared" si="53"/>
        <v>0</v>
      </c>
      <c r="T44" s="33">
        <f t="shared" si="53"/>
        <v>0</v>
      </c>
      <c r="U44" s="33">
        <f t="shared" si="53"/>
        <v>0</v>
      </c>
      <c r="V44" s="33">
        <f t="shared" si="53"/>
        <v>0</v>
      </c>
      <c r="W44" s="33">
        <f t="shared" si="53"/>
        <v>0</v>
      </c>
      <c r="X44" s="33">
        <f t="shared" si="53"/>
        <v>0</v>
      </c>
      <c r="Y44" s="33">
        <f t="shared" si="53"/>
        <v>0</v>
      </c>
      <c r="Z44" s="33">
        <f t="shared" si="53"/>
        <v>0</v>
      </c>
      <c r="AA44" s="31"/>
      <c r="AB44" s="31"/>
    </row>
    <row r="45" spans="1:28" ht="13.2" x14ac:dyDescent="0.25">
      <c r="A45" s="27"/>
      <c r="B45" s="28"/>
      <c r="C45" s="27"/>
      <c r="D45" s="29"/>
      <c r="E45" s="27">
        <f t="shared" si="32"/>
        <v>0</v>
      </c>
      <c r="F45" s="30">
        <f t="shared" si="4"/>
        <v>0</v>
      </c>
      <c r="G45" s="31"/>
      <c r="H45" s="32">
        <f t="shared" si="5"/>
        <v>0</v>
      </c>
      <c r="I45" s="33">
        <f t="shared" si="19"/>
        <v>0</v>
      </c>
      <c r="J45" s="33">
        <f t="shared" ref="J45:Z45" si="54">I45</f>
        <v>0</v>
      </c>
      <c r="K45" s="33">
        <f t="shared" si="54"/>
        <v>0</v>
      </c>
      <c r="L45" s="33">
        <f t="shared" si="54"/>
        <v>0</v>
      </c>
      <c r="M45" s="33">
        <f t="shared" si="54"/>
        <v>0</v>
      </c>
      <c r="N45" s="33">
        <f t="shared" si="54"/>
        <v>0</v>
      </c>
      <c r="O45" s="33">
        <f t="shared" si="54"/>
        <v>0</v>
      </c>
      <c r="P45" s="33">
        <f t="shared" si="54"/>
        <v>0</v>
      </c>
      <c r="Q45" s="33">
        <f t="shared" si="54"/>
        <v>0</v>
      </c>
      <c r="R45" s="33">
        <f t="shared" si="54"/>
        <v>0</v>
      </c>
      <c r="S45" s="33">
        <f t="shared" si="54"/>
        <v>0</v>
      </c>
      <c r="T45" s="33">
        <f t="shared" si="54"/>
        <v>0</v>
      </c>
      <c r="U45" s="33">
        <f t="shared" si="54"/>
        <v>0</v>
      </c>
      <c r="V45" s="33">
        <f t="shared" si="54"/>
        <v>0</v>
      </c>
      <c r="W45" s="33">
        <f t="shared" si="54"/>
        <v>0</v>
      </c>
      <c r="X45" s="33">
        <f t="shared" si="54"/>
        <v>0</v>
      </c>
      <c r="Y45" s="33">
        <f t="shared" si="54"/>
        <v>0</v>
      </c>
      <c r="Z45" s="33">
        <f t="shared" si="54"/>
        <v>0</v>
      </c>
      <c r="AA45" s="31"/>
      <c r="AB45" s="31"/>
    </row>
    <row r="46" spans="1:28" ht="13.2" x14ac:dyDescent="0.25">
      <c r="A46" s="27"/>
      <c r="B46" s="28"/>
      <c r="C46" s="27"/>
      <c r="D46" s="29"/>
      <c r="E46" s="27">
        <f t="shared" si="32"/>
        <v>0</v>
      </c>
      <c r="F46" s="30">
        <f t="shared" si="4"/>
        <v>0</v>
      </c>
      <c r="G46" s="31"/>
      <c r="H46" s="32">
        <f t="shared" si="5"/>
        <v>0</v>
      </c>
      <c r="I46" s="33">
        <f t="shared" si="19"/>
        <v>0</v>
      </c>
      <c r="J46" s="33">
        <f t="shared" ref="J46:Z46" si="55">I46</f>
        <v>0</v>
      </c>
      <c r="K46" s="33">
        <f t="shared" si="55"/>
        <v>0</v>
      </c>
      <c r="L46" s="33">
        <f t="shared" si="55"/>
        <v>0</v>
      </c>
      <c r="M46" s="33">
        <f t="shared" si="55"/>
        <v>0</v>
      </c>
      <c r="N46" s="33">
        <f t="shared" si="55"/>
        <v>0</v>
      </c>
      <c r="O46" s="33">
        <f t="shared" si="55"/>
        <v>0</v>
      </c>
      <c r="P46" s="33">
        <f t="shared" si="55"/>
        <v>0</v>
      </c>
      <c r="Q46" s="33">
        <f t="shared" si="55"/>
        <v>0</v>
      </c>
      <c r="R46" s="33">
        <f t="shared" si="55"/>
        <v>0</v>
      </c>
      <c r="S46" s="33">
        <f t="shared" si="55"/>
        <v>0</v>
      </c>
      <c r="T46" s="33">
        <f t="shared" si="55"/>
        <v>0</v>
      </c>
      <c r="U46" s="33">
        <f t="shared" si="55"/>
        <v>0</v>
      </c>
      <c r="V46" s="33">
        <f t="shared" si="55"/>
        <v>0</v>
      </c>
      <c r="W46" s="33">
        <f t="shared" si="55"/>
        <v>0</v>
      </c>
      <c r="X46" s="33">
        <f t="shared" si="55"/>
        <v>0</v>
      </c>
      <c r="Y46" s="33">
        <f t="shared" si="55"/>
        <v>0</v>
      </c>
      <c r="Z46" s="33">
        <f t="shared" si="55"/>
        <v>0</v>
      </c>
      <c r="AA46" s="31"/>
      <c r="AB46" s="31"/>
    </row>
    <row r="47" spans="1:28" ht="13.2" x14ac:dyDescent="0.25">
      <c r="A47" s="27"/>
      <c r="B47" s="28"/>
      <c r="C47" s="27"/>
      <c r="D47" s="29"/>
      <c r="E47" s="27">
        <f t="shared" si="32"/>
        <v>0</v>
      </c>
      <c r="F47" s="30">
        <f t="shared" si="4"/>
        <v>0</v>
      </c>
      <c r="G47" s="31"/>
      <c r="H47" s="32">
        <f t="shared" si="5"/>
        <v>0</v>
      </c>
      <c r="I47" s="33">
        <f t="shared" si="19"/>
        <v>0</v>
      </c>
      <c r="J47" s="33">
        <f t="shared" ref="J47:Z47" si="56">I47</f>
        <v>0</v>
      </c>
      <c r="K47" s="33">
        <f t="shared" si="56"/>
        <v>0</v>
      </c>
      <c r="L47" s="33">
        <f t="shared" si="56"/>
        <v>0</v>
      </c>
      <c r="M47" s="33">
        <f t="shared" si="56"/>
        <v>0</v>
      </c>
      <c r="N47" s="33">
        <f t="shared" si="56"/>
        <v>0</v>
      </c>
      <c r="O47" s="33">
        <f t="shared" si="56"/>
        <v>0</v>
      </c>
      <c r="P47" s="33">
        <f t="shared" si="56"/>
        <v>0</v>
      </c>
      <c r="Q47" s="33">
        <f t="shared" si="56"/>
        <v>0</v>
      </c>
      <c r="R47" s="33">
        <f t="shared" si="56"/>
        <v>0</v>
      </c>
      <c r="S47" s="33">
        <f t="shared" si="56"/>
        <v>0</v>
      </c>
      <c r="T47" s="33">
        <f t="shared" si="56"/>
        <v>0</v>
      </c>
      <c r="U47" s="33">
        <f t="shared" si="56"/>
        <v>0</v>
      </c>
      <c r="V47" s="33">
        <f t="shared" si="56"/>
        <v>0</v>
      </c>
      <c r="W47" s="33">
        <f t="shared" si="56"/>
        <v>0</v>
      </c>
      <c r="X47" s="33">
        <f t="shared" si="56"/>
        <v>0</v>
      </c>
      <c r="Y47" s="33">
        <f t="shared" si="56"/>
        <v>0</v>
      </c>
      <c r="Z47" s="33">
        <f t="shared" si="56"/>
        <v>0</v>
      </c>
      <c r="AA47" s="31"/>
      <c r="AB47" s="31"/>
    </row>
    <row r="48" spans="1:28" ht="13.2" x14ac:dyDescent="0.25">
      <c r="A48" s="27"/>
      <c r="B48" s="28"/>
      <c r="C48" s="27"/>
      <c r="D48" s="29"/>
      <c r="E48" s="27">
        <f t="shared" si="32"/>
        <v>0</v>
      </c>
      <c r="F48" s="30">
        <f t="shared" si="4"/>
        <v>0</v>
      </c>
      <c r="G48" s="31"/>
      <c r="H48" s="32">
        <f t="shared" si="5"/>
        <v>0</v>
      </c>
      <c r="I48" s="33">
        <f t="shared" si="19"/>
        <v>0</v>
      </c>
      <c r="J48" s="33">
        <f t="shared" ref="J48:Z48" si="57">I48</f>
        <v>0</v>
      </c>
      <c r="K48" s="33">
        <f t="shared" si="57"/>
        <v>0</v>
      </c>
      <c r="L48" s="33">
        <f t="shared" si="57"/>
        <v>0</v>
      </c>
      <c r="M48" s="33">
        <f t="shared" si="57"/>
        <v>0</v>
      </c>
      <c r="N48" s="33">
        <f t="shared" si="57"/>
        <v>0</v>
      </c>
      <c r="O48" s="33">
        <f t="shared" si="57"/>
        <v>0</v>
      </c>
      <c r="P48" s="33">
        <f t="shared" si="57"/>
        <v>0</v>
      </c>
      <c r="Q48" s="33">
        <f t="shared" si="57"/>
        <v>0</v>
      </c>
      <c r="R48" s="33">
        <f t="shared" si="57"/>
        <v>0</v>
      </c>
      <c r="S48" s="33">
        <f t="shared" si="57"/>
        <v>0</v>
      </c>
      <c r="T48" s="33">
        <f t="shared" si="57"/>
        <v>0</v>
      </c>
      <c r="U48" s="33">
        <f t="shared" si="57"/>
        <v>0</v>
      </c>
      <c r="V48" s="33">
        <f t="shared" si="57"/>
        <v>0</v>
      </c>
      <c r="W48" s="33">
        <f t="shared" si="57"/>
        <v>0</v>
      </c>
      <c r="X48" s="33">
        <f t="shared" si="57"/>
        <v>0</v>
      </c>
      <c r="Y48" s="33">
        <f t="shared" si="57"/>
        <v>0</v>
      </c>
      <c r="Z48" s="33">
        <f t="shared" si="57"/>
        <v>0</v>
      </c>
      <c r="AA48" s="31"/>
      <c r="AB48" s="31"/>
    </row>
    <row r="49" spans="1:28" ht="13.2" x14ac:dyDescent="0.25">
      <c r="A49" s="27"/>
      <c r="B49" s="28"/>
      <c r="C49" s="27"/>
      <c r="D49" s="29"/>
      <c r="E49" s="27">
        <f t="shared" si="32"/>
        <v>0</v>
      </c>
      <c r="F49" s="30">
        <f t="shared" si="4"/>
        <v>0</v>
      </c>
      <c r="G49" s="31"/>
      <c r="H49" s="32">
        <f t="shared" si="5"/>
        <v>0</v>
      </c>
      <c r="I49" s="33">
        <f t="shared" si="19"/>
        <v>0</v>
      </c>
      <c r="J49" s="33">
        <f t="shared" ref="J49:Z49" si="58">I49</f>
        <v>0</v>
      </c>
      <c r="K49" s="33">
        <f t="shared" si="58"/>
        <v>0</v>
      </c>
      <c r="L49" s="33">
        <f t="shared" si="58"/>
        <v>0</v>
      </c>
      <c r="M49" s="33">
        <f t="shared" si="58"/>
        <v>0</v>
      </c>
      <c r="N49" s="33">
        <f t="shared" si="58"/>
        <v>0</v>
      </c>
      <c r="O49" s="33">
        <f t="shared" si="58"/>
        <v>0</v>
      </c>
      <c r="P49" s="33">
        <f t="shared" si="58"/>
        <v>0</v>
      </c>
      <c r="Q49" s="33">
        <f t="shared" si="58"/>
        <v>0</v>
      </c>
      <c r="R49" s="33">
        <f t="shared" si="58"/>
        <v>0</v>
      </c>
      <c r="S49" s="33">
        <f t="shared" si="58"/>
        <v>0</v>
      </c>
      <c r="T49" s="33">
        <f t="shared" si="58"/>
        <v>0</v>
      </c>
      <c r="U49" s="33">
        <f t="shared" si="58"/>
        <v>0</v>
      </c>
      <c r="V49" s="33">
        <f t="shared" si="58"/>
        <v>0</v>
      </c>
      <c r="W49" s="33">
        <f t="shared" si="58"/>
        <v>0</v>
      </c>
      <c r="X49" s="33">
        <f t="shared" si="58"/>
        <v>0</v>
      </c>
      <c r="Y49" s="33">
        <f t="shared" si="58"/>
        <v>0</v>
      </c>
      <c r="Z49" s="33">
        <f t="shared" si="58"/>
        <v>0</v>
      </c>
      <c r="AA49" s="31"/>
      <c r="AB49" s="31"/>
    </row>
    <row r="50" spans="1:28" ht="13.2" x14ac:dyDescent="0.25">
      <c r="A50" s="27"/>
      <c r="B50" s="28"/>
      <c r="C50" s="27"/>
      <c r="D50" s="29"/>
      <c r="E50" s="27">
        <f t="shared" si="32"/>
        <v>0</v>
      </c>
      <c r="F50" s="30">
        <f t="shared" si="4"/>
        <v>0</v>
      </c>
      <c r="G50" s="31"/>
      <c r="H50" s="32">
        <f t="shared" si="5"/>
        <v>0</v>
      </c>
      <c r="I50" s="33">
        <f t="shared" si="19"/>
        <v>0</v>
      </c>
      <c r="J50" s="33">
        <f t="shared" ref="J50:Z50" si="59">I50</f>
        <v>0</v>
      </c>
      <c r="K50" s="33">
        <f t="shared" si="59"/>
        <v>0</v>
      </c>
      <c r="L50" s="33">
        <f t="shared" si="59"/>
        <v>0</v>
      </c>
      <c r="M50" s="33">
        <f t="shared" si="59"/>
        <v>0</v>
      </c>
      <c r="N50" s="33">
        <f t="shared" si="59"/>
        <v>0</v>
      </c>
      <c r="O50" s="33">
        <f t="shared" si="59"/>
        <v>0</v>
      </c>
      <c r="P50" s="33">
        <f t="shared" si="59"/>
        <v>0</v>
      </c>
      <c r="Q50" s="33">
        <f t="shared" si="59"/>
        <v>0</v>
      </c>
      <c r="R50" s="33">
        <f t="shared" si="59"/>
        <v>0</v>
      </c>
      <c r="S50" s="33">
        <f t="shared" si="59"/>
        <v>0</v>
      </c>
      <c r="T50" s="33">
        <f t="shared" si="59"/>
        <v>0</v>
      </c>
      <c r="U50" s="33">
        <f t="shared" si="59"/>
        <v>0</v>
      </c>
      <c r="V50" s="33">
        <f t="shared" si="59"/>
        <v>0</v>
      </c>
      <c r="W50" s="33">
        <f t="shared" si="59"/>
        <v>0</v>
      </c>
      <c r="X50" s="33">
        <f t="shared" si="59"/>
        <v>0</v>
      </c>
      <c r="Y50" s="33">
        <f t="shared" si="59"/>
        <v>0</v>
      </c>
      <c r="Z50" s="33">
        <f t="shared" si="59"/>
        <v>0</v>
      </c>
      <c r="AA50" s="31"/>
      <c r="AB50" s="31"/>
    </row>
    <row r="51" spans="1:28" ht="13.2" x14ac:dyDescent="0.25">
      <c r="A51" s="27"/>
      <c r="B51" s="28"/>
      <c r="C51" s="27"/>
      <c r="D51" s="29"/>
      <c r="E51" s="27">
        <f t="shared" si="32"/>
        <v>0</v>
      </c>
      <c r="F51" s="30">
        <f t="shared" si="4"/>
        <v>0</v>
      </c>
      <c r="G51" s="31"/>
      <c r="H51" s="32">
        <f t="shared" si="5"/>
        <v>0</v>
      </c>
      <c r="I51" s="33">
        <f t="shared" si="19"/>
        <v>0</v>
      </c>
      <c r="J51" s="33">
        <f t="shared" ref="J51:Z51" si="60">I51</f>
        <v>0</v>
      </c>
      <c r="K51" s="33">
        <f t="shared" si="60"/>
        <v>0</v>
      </c>
      <c r="L51" s="33">
        <f t="shared" si="60"/>
        <v>0</v>
      </c>
      <c r="M51" s="33">
        <f t="shared" si="60"/>
        <v>0</v>
      </c>
      <c r="N51" s="33">
        <f t="shared" si="60"/>
        <v>0</v>
      </c>
      <c r="O51" s="33">
        <f t="shared" si="60"/>
        <v>0</v>
      </c>
      <c r="P51" s="33">
        <f t="shared" si="60"/>
        <v>0</v>
      </c>
      <c r="Q51" s="33">
        <f t="shared" si="60"/>
        <v>0</v>
      </c>
      <c r="R51" s="33">
        <f t="shared" si="60"/>
        <v>0</v>
      </c>
      <c r="S51" s="33">
        <f t="shared" si="60"/>
        <v>0</v>
      </c>
      <c r="T51" s="33">
        <f t="shared" si="60"/>
        <v>0</v>
      </c>
      <c r="U51" s="33">
        <f t="shared" si="60"/>
        <v>0</v>
      </c>
      <c r="V51" s="33">
        <f t="shared" si="60"/>
        <v>0</v>
      </c>
      <c r="W51" s="33">
        <f t="shared" si="60"/>
        <v>0</v>
      </c>
      <c r="X51" s="33">
        <f t="shared" si="60"/>
        <v>0</v>
      </c>
      <c r="Y51" s="33">
        <f t="shared" si="60"/>
        <v>0</v>
      </c>
      <c r="Z51" s="33">
        <f t="shared" si="60"/>
        <v>0</v>
      </c>
      <c r="AA51" s="31"/>
      <c r="AB51" s="31"/>
    </row>
    <row r="52" spans="1:28" ht="13.2" x14ac:dyDescent="0.25">
      <c r="A52" s="27"/>
      <c r="B52" s="28"/>
      <c r="C52" s="27"/>
      <c r="D52" s="29"/>
      <c r="E52" s="27">
        <f t="shared" si="32"/>
        <v>0</v>
      </c>
      <c r="F52" s="30">
        <f t="shared" si="4"/>
        <v>0</v>
      </c>
      <c r="G52" s="31"/>
      <c r="H52" s="32">
        <f t="shared" si="5"/>
        <v>0</v>
      </c>
      <c r="I52" s="33">
        <f t="shared" si="19"/>
        <v>0</v>
      </c>
      <c r="J52" s="33">
        <f t="shared" ref="J52:Z52" si="61">I52</f>
        <v>0</v>
      </c>
      <c r="K52" s="33">
        <f t="shared" si="61"/>
        <v>0</v>
      </c>
      <c r="L52" s="33">
        <f t="shared" si="61"/>
        <v>0</v>
      </c>
      <c r="M52" s="33">
        <f t="shared" si="61"/>
        <v>0</v>
      </c>
      <c r="N52" s="33">
        <f t="shared" si="61"/>
        <v>0</v>
      </c>
      <c r="O52" s="33">
        <f t="shared" si="61"/>
        <v>0</v>
      </c>
      <c r="P52" s="33">
        <f t="shared" si="61"/>
        <v>0</v>
      </c>
      <c r="Q52" s="33">
        <f t="shared" si="61"/>
        <v>0</v>
      </c>
      <c r="R52" s="33">
        <f t="shared" si="61"/>
        <v>0</v>
      </c>
      <c r="S52" s="33">
        <f t="shared" si="61"/>
        <v>0</v>
      </c>
      <c r="T52" s="33">
        <f t="shared" si="61"/>
        <v>0</v>
      </c>
      <c r="U52" s="33">
        <f t="shared" si="61"/>
        <v>0</v>
      </c>
      <c r="V52" s="33">
        <f t="shared" si="61"/>
        <v>0</v>
      </c>
      <c r="W52" s="33">
        <f t="shared" si="61"/>
        <v>0</v>
      </c>
      <c r="X52" s="33">
        <f t="shared" si="61"/>
        <v>0</v>
      </c>
      <c r="Y52" s="33">
        <f t="shared" si="61"/>
        <v>0</v>
      </c>
      <c r="Z52" s="33">
        <f t="shared" si="61"/>
        <v>0</v>
      </c>
      <c r="AA52" s="31"/>
      <c r="AB52" s="31"/>
    </row>
    <row r="53" spans="1:28" ht="13.2" x14ac:dyDescent="0.25">
      <c r="A53" s="27"/>
      <c r="B53" s="28"/>
      <c r="C53" s="27"/>
      <c r="D53" s="29"/>
      <c r="E53" s="27">
        <f t="shared" si="32"/>
        <v>0</v>
      </c>
      <c r="F53" s="30">
        <f t="shared" si="4"/>
        <v>0</v>
      </c>
      <c r="G53" s="31"/>
      <c r="H53" s="32">
        <f t="shared" si="5"/>
        <v>0</v>
      </c>
      <c r="I53" s="33">
        <f t="shared" si="19"/>
        <v>0</v>
      </c>
      <c r="J53" s="33">
        <f t="shared" ref="J53:Z53" si="62">I53</f>
        <v>0</v>
      </c>
      <c r="K53" s="33">
        <f t="shared" si="62"/>
        <v>0</v>
      </c>
      <c r="L53" s="33">
        <f t="shared" si="62"/>
        <v>0</v>
      </c>
      <c r="M53" s="33">
        <f t="shared" si="62"/>
        <v>0</v>
      </c>
      <c r="N53" s="33">
        <f t="shared" si="62"/>
        <v>0</v>
      </c>
      <c r="O53" s="33">
        <f t="shared" si="62"/>
        <v>0</v>
      </c>
      <c r="P53" s="33">
        <f t="shared" si="62"/>
        <v>0</v>
      </c>
      <c r="Q53" s="33">
        <f t="shared" si="62"/>
        <v>0</v>
      </c>
      <c r="R53" s="33">
        <f t="shared" si="62"/>
        <v>0</v>
      </c>
      <c r="S53" s="33">
        <f t="shared" si="62"/>
        <v>0</v>
      </c>
      <c r="T53" s="33">
        <f t="shared" si="62"/>
        <v>0</v>
      </c>
      <c r="U53" s="33">
        <f t="shared" si="62"/>
        <v>0</v>
      </c>
      <c r="V53" s="33">
        <f t="shared" si="62"/>
        <v>0</v>
      </c>
      <c r="W53" s="33">
        <f t="shared" si="62"/>
        <v>0</v>
      </c>
      <c r="X53" s="33">
        <f t="shared" si="62"/>
        <v>0</v>
      </c>
      <c r="Y53" s="33">
        <f t="shared" si="62"/>
        <v>0</v>
      </c>
      <c r="Z53" s="33">
        <f t="shared" si="62"/>
        <v>0</v>
      </c>
      <c r="AA53" s="31"/>
      <c r="AB53" s="31"/>
    </row>
    <row r="54" spans="1:28" ht="13.2" x14ac:dyDescent="0.25">
      <c r="A54" s="27"/>
      <c r="B54" s="28"/>
      <c r="C54" s="27"/>
      <c r="D54" s="29"/>
      <c r="E54" s="27">
        <f t="shared" si="32"/>
        <v>0</v>
      </c>
      <c r="F54" s="30">
        <f t="shared" si="4"/>
        <v>0</v>
      </c>
      <c r="G54" s="31"/>
      <c r="H54" s="32">
        <f t="shared" si="5"/>
        <v>0</v>
      </c>
      <c r="I54" s="33">
        <f t="shared" si="19"/>
        <v>0</v>
      </c>
      <c r="J54" s="33">
        <f t="shared" ref="J54:Z54" si="63">I54</f>
        <v>0</v>
      </c>
      <c r="K54" s="33">
        <f t="shared" si="63"/>
        <v>0</v>
      </c>
      <c r="L54" s="33">
        <f t="shared" si="63"/>
        <v>0</v>
      </c>
      <c r="M54" s="33">
        <f t="shared" si="63"/>
        <v>0</v>
      </c>
      <c r="N54" s="33">
        <f t="shared" si="63"/>
        <v>0</v>
      </c>
      <c r="O54" s="33">
        <f t="shared" si="63"/>
        <v>0</v>
      </c>
      <c r="P54" s="33">
        <f t="shared" si="63"/>
        <v>0</v>
      </c>
      <c r="Q54" s="33">
        <f t="shared" si="63"/>
        <v>0</v>
      </c>
      <c r="R54" s="33">
        <f t="shared" si="63"/>
        <v>0</v>
      </c>
      <c r="S54" s="33">
        <f t="shared" si="63"/>
        <v>0</v>
      </c>
      <c r="T54" s="33">
        <f t="shared" si="63"/>
        <v>0</v>
      </c>
      <c r="U54" s="33">
        <f t="shared" si="63"/>
        <v>0</v>
      </c>
      <c r="V54" s="33">
        <f t="shared" si="63"/>
        <v>0</v>
      </c>
      <c r="W54" s="33">
        <f t="shared" si="63"/>
        <v>0</v>
      </c>
      <c r="X54" s="33">
        <f t="shared" si="63"/>
        <v>0</v>
      </c>
      <c r="Y54" s="33">
        <f t="shared" si="63"/>
        <v>0</v>
      </c>
      <c r="Z54" s="33">
        <f t="shared" si="63"/>
        <v>0</v>
      </c>
      <c r="AA54" s="31"/>
      <c r="AB54" s="31"/>
    </row>
    <row r="55" spans="1:28" ht="13.2" x14ac:dyDescent="0.25">
      <c r="A55" s="27"/>
      <c r="B55" s="28"/>
      <c r="C55" s="27"/>
      <c r="D55" s="29"/>
      <c r="E55" s="27">
        <f t="shared" si="32"/>
        <v>0</v>
      </c>
      <c r="F55" s="30">
        <f t="shared" si="4"/>
        <v>0</v>
      </c>
      <c r="G55" s="31"/>
      <c r="H55" s="32">
        <f t="shared" si="5"/>
        <v>0</v>
      </c>
      <c r="I55" s="33">
        <f t="shared" si="19"/>
        <v>0</v>
      </c>
      <c r="J55" s="33">
        <f t="shared" ref="J55:Z55" si="64">I55</f>
        <v>0</v>
      </c>
      <c r="K55" s="33">
        <f t="shared" si="64"/>
        <v>0</v>
      </c>
      <c r="L55" s="33">
        <f t="shared" si="64"/>
        <v>0</v>
      </c>
      <c r="M55" s="33">
        <f t="shared" si="64"/>
        <v>0</v>
      </c>
      <c r="N55" s="33">
        <f t="shared" si="64"/>
        <v>0</v>
      </c>
      <c r="O55" s="33">
        <f t="shared" si="64"/>
        <v>0</v>
      </c>
      <c r="P55" s="33">
        <f t="shared" si="64"/>
        <v>0</v>
      </c>
      <c r="Q55" s="33">
        <f t="shared" si="64"/>
        <v>0</v>
      </c>
      <c r="R55" s="33">
        <f t="shared" si="64"/>
        <v>0</v>
      </c>
      <c r="S55" s="33">
        <f t="shared" si="64"/>
        <v>0</v>
      </c>
      <c r="T55" s="33">
        <f t="shared" si="64"/>
        <v>0</v>
      </c>
      <c r="U55" s="33">
        <f t="shared" si="64"/>
        <v>0</v>
      </c>
      <c r="V55" s="33">
        <f t="shared" si="64"/>
        <v>0</v>
      </c>
      <c r="W55" s="33">
        <f t="shared" si="64"/>
        <v>0</v>
      </c>
      <c r="X55" s="33">
        <f t="shared" si="64"/>
        <v>0</v>
      </c>
      <c r="Y55" s="33">
        <f t="shared" si="64"/>
        <v>0</v>
      </c>
      <c r="Z55" s="33">
        <f t="shared" si="64"/>
        <v>0</v>
      </c>
      <c r="AA55" s="31"/>
      <c r="AB55" s="31"/>
    </row>
    <row r="56" spans="1:28" ht="13.2" x14ac:dyDescent="0.25">
      <c r="A56" s="27"/>
      <c r="B56" s="28"/>
      <c r="C56" s="27"/>
      <c r="D56" s="29"/>
      <c r="E56" s="27">
        <f t="shared" si="32"/>
        <v>0</v>
      </c>
      <c r="F56" s="30">
        <f t="shared" si="4"/>
        <v>0</v>
      </c>
      <c r="G56" s="31"/>
      <c r="H56" s="32">
        <f t="shared" si="5"/>
        <v>0</v>
      </c>
      <c r="I56" s="33">
        <f t="shared" si="19"/>
        <v>0</v>
      </c>
      <c r="J56" s="33">
        <f t="shared" ref="J56:Z56" si="65">I56</f>
        <v>0</v>
      </c>
      <c r="K56" s="33">
        <f t="shared" si="65"/>
        <v>0</v>
      </c>
      <c r="L56" s="33">
        <f t="shared" si="65"/>
        <v>0</v>
      </c>
      <c r="M56" s="33">
        <f t="shared" si="65"/>
        <v>0</v>
      </c>
      <c r="N56" s="33">
        <f t="shared" si="65"/>
        <v>0</v>
      </c>
      <c r="O56" s="33">
        <f t="shared" si="65"/>
        <v>0</v>
      </c>
      <c r="P56" s="33">
        <f t="shared" si="65"/>
        <v>0</v>
      </c>
      <c r="Q56" s="33">
        <f t="shared" si="65"/>
        <v>0</v>
      </c>
      <c r="R56" s="33">
        <f t="shared" si="65"/>
        <v>0</v>
      </c>
      <c r="S56" s="33">
        <f t="shared" si="65"/>
        <v>0</v>
      </c>
      <c r="T56" s="33">
        <f t="shared" si="65"/>
        <v>0</v>
      </c>
      <c r="U56" s="33">
        <f t="shared" si="65"/>
        <v>0</v>
      </c>
      <c r="V56" s="33">
        <f t="shared" si="65"/>
        <v>0</v>
      </c>
      <c r="W56" s="33">
        <f t="shared" si="65"/>
        <v>0</v>
      </c>
      <c r="X56" s="33">
        <f t="shared" si="65"/>
        <v>0</v>
      </c>
      <c r="Y56" s="33">
        <f t="shared" si="65"/>
        <v>0</v>
      </c>
      <c r="Z56" s="33">
        <f t="shared" si="65"/>
        <v>0</v>
      </c>
      <c r="AA56" s="31"/>
      <c r="AB56" s="31"/>
    </row>
    <row r="57" spans="1:28" ht="13.2" x14ac:dyDescent="0.25">
      <c r="A57" s="27"/>
      <c r="B57" s="28"/>
      <c r="C57" s="27"/>
      <c r="D57" s="29"/>
      <c r="E57" s="27">
        <f t="shared" si="32"/>
        <v>0</v>
      </c>
      <c r="F57" s="30">
        <f t="shared" si="4"/>
        <v>0</v>
      </c>
      <c r="G57" s="31"/>
      <c r="H57" s="32">
        <f t="shared" si="5"/>
        <v>0</v>
      </c>
      <c r="I57" s="33">
        <f t="shared" si="19"/>
        <v>0</v>
      </c>
      <c r="J57" s="33">
        <f t="shared" ref="J57:Z57" si="66">I57</f>
        <v>0</v>
      </c>
      <c r="K57" s="33">
        <f t="shared" si="66"/>
        <v>0</v>
      </c>
      <c r="L57" s="33">
        <f t="shared" si="66"/>
        <v>0</v>
      </c>
      <c r="M57" s="33">
        <f t="shared" si="66"/>
        <v>0</v>
      </c>
      <c r="N57" s="33">
        <f t="shared" si="66"/>
        <v>0</v>
      </c>
      <c r="O57" s="33">
        <f t="shared" si="66"/>
        <v>0</v>
      </c>
      <c r="P57" s="33">
        <f t="shared" si="66"/>
        <v>0</v>
      </c>
      <c r="Q57" s="33">
        <f t="shared" si="66"/>
        <v>0</v>
      </c>
      <c r="R57" s="33">
        <f t="shared" si="66"/>
        <v>0</v>
      </c>
      <c r="S57" s="33">
        <f t="shared" si="66"/>
        <v>0</v>
      </c>
      <c r="T57" s="33">
        <f t="shared" si="66"/>
        <v>0</v>
      </c>
      <c r="U57" s="33">
        <f t="shared" si="66"/>
        <v>0</v>
      </c>
      <c r="V57" s="33">
        <f t="shared" si="66"/>
        <v>0</v>
      </c>
      <c r="W57" s="33">
        <f t="shared" si="66"/>
        <v>0</v>
      </c>
      <c r="X57" s="33">
        <f t="shared" si="66"/>
        <v>0</v>
      </c>
      <c r="Y57" s="33">
        <f t="shared" si="66"/>
        <v>0</v>
      </c>
      <c r="Z57" s="33">
        <f t="shared" si="66"/>
        <v>0</v>
      </c>
      <c r="AA57" s="31"/>
      <c r="AB57" s="31"/>
    </row>
    <row r="58" spans="1:28" ht="13.2" x14ac:dyDescent="0.25">
      <c r="A58" s="27"/>
      <c r="B58" s="28"/>
      <c r="C58" s="27"/>
      <c r="D58" s="29"/>
      <c r="E58" s="27">
        <f t="shared" si="32"/>
        <v>0</v>
      </c>
      <c r="F58" s="30">
        <f t="shared" si="4"/>
        <v>0</v>
      </c>
      <c r="G58" s="31"/>
      <c r="H58" s="32">
        <f t="shared" si="5"/>
        <v>0</v>
      </c>
      <c r="I58" s="33">
        <f t="shared" si="19"/>
        <v>0</v>
      </c>
      <c r="J58" s="33">
        <f t="shared" ref="J58:Z58" si="67">I58</f>
        <v>0</v>
      </c>
      <c r="K58" s="33">
        <f t="shared" si="67"/>
        <v>0</v>
      </c>
      <c r="L58" s="33">
        <f t="shared" si="67"/>
        <v>0</v>
      </c>
      <c r="M58" s="33">
        <f t="shared" si="67"/>
        <v>0</v>
      </c>
      <c r="N58" s="33">
        <f t="shared" si="67"/>
        <v>0</v>
      </c>
      <c r="O58" s="33">
        <f t="shared" si="67"/>
        <v>0</v>
      </c>
      <c r="P58" s="33">
        <f t="shared" si="67"/>
        <v>0</v>
      </c>
      <c r="Q58" s="33">
        <f t="shared" si="67"/>
        <v>0</v>
      </c>
      <c r="R58" s="33">
        <f t="shared" si="67"/>
        <v>0</v>
      </c>
      <c r="S58" s="33">
        <f t="shared" si="67"/>
        <v>0</v>
      </c>
      <c r="T58" s="33">
        <f t="shared" si="67"/>
        <v>0</v>
      </c>
      <c r="U58" s="33">
        <f t="shared" si="67"/>
        <v>0</v>
      </c>
      <c r="V58" s="33">
        <f t="shared" si="67"/>
        <v>0</v>
      </c>
      <c r="W58" s="33">
        <f t="shared" si="67"/>
        <v>0</v>
      </c>
      <c r="X58" s="33">
        <f t="shared" si="67"/>
        <v>0</v>
      </c>
      <c r="Y58" s="33">
        <f t="shared" si="67"/>
        <v>0</v>
      </c>
      <c r="Z58" s="33">
        <f t="shared" si="67"/>
        <v>0</v>
      </c>
      <c r="AA58" s="31"/>
      <c r="AB58" s="31"/>
    </row>
    <row r="59" spans="1:28" ht="13.2" x14ac:dyDescent="0.25">
      <c r="A59" s="27"/>
      <c r="B59" s="28"/>
      <c r="C59" s="27"/>
      <c r="D59" s="29"/>
      <c r="E59" s="27">
        <f t="shared" si="32"/>
        <v>0</v>
      </c>
      <c r="F59" s="30">
        <f t="shared" si="4"/>
        <v>0</v>
      </c>
      <c r="G59" s="31"/>
      <c r="H59" s="32">
        <f t="shared" si="5"/>
        <v>0</v>
      </c>
      <c r="I59" s="33">
        <f t="shared" si="19"/>
        <v>0</v>
      </c>
      <c r="J59" s="33">
        <f t="shared" ref="J59:Z59" si="68">I59</f>
        <v>0</v>
      </c>
      <c r="K59" s="33">
        <f t="shared" si="68"/>
        <v>0</v>
      </c>
      <c r="L59" s="33">
        <f t="shared" si="68"/>
        <v>0</v>
      </c>
      <c r="M59" s="33">
        <f t="shared" si="68"/>
        <v>0</v>
      </c>
      <c r="N59" s="33">
        <f t="shared" si="68"/>
        <v>0</v>
      </c>
      <c r="O59" s="33">
        <f t="shared" si="68"/>
        <v>0</v>
      </c>
      <c r="P59" s="33">
        <f t="shared" si="68"/>
        <v>0</v>
      </c>
      <c r="Q59" s="33">
        <f t="shared" si="68"/>
        <v>0</v>
      </c>
      <c r="R59" s="33">
        <f t="shared" si="68"/>
        <v>0</v>
      </c>
      <c r="S59" s="33">
        <f t="shared" si="68"/>
        <v>0</v>
      </c>
      <c r="T59" s="33">
        <f t="shared" si="68"/>
        <v>0</v>
      </c>
      <c r="U59" s="33">
        <f t="shared" si="68"/>
        <v>0</v>
      </c>
      <c r="V59" s="33">
        <f t="shared" si="68"/>
        <v>0</v>
      </c>
      <c r="W59" s="33">
        <f t="shared" si="68"/>
        <v>0</v>
      </c>
      <c r="X59" s="33">
        <f t="shared" si="68"/>
        <v>0</v>
      </c>
      <c r="Y59" s="33">
        <f t="shared" si="68"/>
        <v>0</v>
      </c>
      <c r="Z59" s="33">
        <f t="shared" si="68"/>
        <v>0</v>
      </c>
      <c r="AA59" s="31"/>
      <c r="AB59" s="31"/>
    </row>
    <row r="60" spans="1:28" ht="13.2" x14ac:dyDescent="0.25">
      <c r="A60" s="27"/>
      <c r="B60" s="28"/>
      <c r="C60" s="27"/>
      <c r="D60" s="29"/>
      <c r="E60" s="27">
        <f t="shared" si="32"/>
        <v>0</v>
      </c>
      <c r="F60" s="30">
        <f t="shared" si="4"/>
        <v>0</v>
      </c>
      <c r="G60" s="31"/>
      <c r="H60" s="32">
        <f t="shared" si="5"/>
        <v>0</v>
      </c>
      <c r="I60" s="33">
        <f t="shared" si="19"/>
        <v>0</v>
      </c>
      <c r="J60" s="33">
        <f t="shared" ref="J60:Z60" si="69">I60</f>
        <v>0</v>
      </c>
      <c r="K60" s="33">
        <f t="shared" si="69"/>
        <v>0</v>
      </c>
      <c r="L60" s="33">
        <f t="shared" si="69"/>
        <v>0</v>
      </c>
      <c r="M60" s="33">
        <f t="shared" si="69"/>
        <v>0</v>
      </c>
      <c r="N60" s="33">
        <f t="shared" si="69"/>
        <v>0</v>
      </c>
      <c r="O60" s="33">
        <f t="shared" si="69"/>
        <v>0</v>
      </c>
      <c r="P60" s="33">
        <f t="shared" si="69"/>
        <v>0</v>
      </c>
      <c r="Q60" s="33">
        <f t="shared" si="69"/>
        <v>0</v>
      </c>
      <c r="R60" s="33">
        <f t="shared" si="69"/>
        <v>0</v>
      </c>
      <c r="S60" s="33">
        <f t="shared" si="69"/>
        <v>0</v>
      </c>
      <c r="T60" s="33">
        <f t="shared" si="69"/>
        <v>0</v>
      </c>
      <c r="U60" s="33">
        <f t="shared" si="69"/>
        <v>0</v>
      </c>
      <c r="V60" s="33">
        <f t="shared" si="69"/>
        <v>0</v>
      </c>
      <c r="W60" s="33">
        <f t="shared" si="69"/>
        <v>0</v>
      </c>
      <c r="X60" s="33">
        <f t="shared" si="69"/>
        <v>0</v>
      </c>
      <c r="Y60" s="33">
        <f t="shared" si="69"/>
        <v>0</v>
      </c>
      <c r="Z60" s="33">
        <f t="shared" si="69"/>
        <v>0</v>
      </c>
      <c r="AA60" s="31"/>
      <c r="AB60" s="31"/>
    </row>
    <row r="61" spans="1:28" ht="13.2" x14ac:dyDescent="0.25">
      <c r="A61" s="27"/>
      <c r="B61" s="28"/>
      <c r="C61" s="27"/>
      <c r="D61" s="29"/>
      <c r="E61" s="27">
        <f t="shared" si="32"/>
        <v>0</v>
      </c>
      <c r="F61" s="30">
        <f t="shared" si="4"/>
        <v>0</v>
      </c>
      <c r="G61" s="31"/>
      <c r="H61" s="32">
        <f t="shared" si="5"/>
        <v>0</v>
      </c>
      <c r="I61" s="33">
        <f t="shared" si="19"/>
        <v>0</v>
      </c>
      <c r="J61" s="33">
        <f t="shared" ref="J61:Z61" si="70">I61</f>
        <v>0</v>
      </c>
      <c r="K61" s="33">
        <f t="shared" si="70"/>
        <v>0</v>
      </c>
      <c r="L61" s="33">
        <f t="shared" si="70"/>
        <v>0</v>
      </c>
      <c r="M61" s="33">
        <f t="shared" si="70"/>
        <v>0</v>
      </c>
      <c r="N61" s="33">
        <f t="shared" si="70"/>
        <v>0</v>
      </c>
      <c r="O61" s="33">
        <f t="shared" si="70"/>
        <v>0</v>
      </c>
      <c r="P61" s="33">
        <f t="shared" si="70"/>
        <v>0</v>
      </c>
      <c r="Q61" s="33">
        <f t="shared" si="70"/>
        <v>0</v>
      </c>
      <c r="R61" s="33">
        <f t="shared" si="70"/>
        <v>0</v>
      </c>
      <c r="S61" s="33">
        <f t="shared" si="70"/>
        <v>0</v>
      </c>
      <c r="T61" s="33">
        <f t="shared" si="70"/>
        <v>0</v>
      </c>
      <c r="U61" s="33">
        <f t="shared" si="70"/>
        <v>0</v>
      </c>
      <c r="V61" s="33">
        <f t="shared" si="70"/>
        <v>0</v>
      </c>
      <c r="W61" s="33">
        <f t="shared" si="70"/>
        <v>0</v>
      </c>
      <c r="X61" s="33">
        <f t="shared" si="70"/>
        <v>0</v>
      </c>
      <c r="Y61" s="33">
        <f t="shared" si="70"/>
        <v>0</v>
      </c>
      <c r="Z61" s="33">
        <f t="shared" si="70"/>
        <v>0</v>
      </c>
      <c r="AA61" s="31"/>
      <c r="AB61" s="31"/>
    </row>
    <row r="62" spans="1:28" ht="13.2" x14ac:dyDescent="0.25">
      <c r="A62" s="27"/>
      <c r="B62" s="28"/>
      <c r="C62" s="27"/>
      <c r="D62" s="29"/>
      <c r="E62" s="27">
        <f t="shared" si="32"/>
        <v>0</v>
      </c>
      <c r="F62" s="30">
        <f t="shared" si="4"/>
        <v>0</v>
      </c>
      <c r="G62" s="31"/>
      <c r="H62" s="32">
        <f t="shared" si="5"/>
        <v>0</v>
      </c>
      <c r="I62" s="33">
        <f t="shared" si="19"/>
        <v>0</v>
      </c>
      <c r="J62" s="33">
        <f t="shared" ref="J62:Z62" si="71">I62</f>
        <v>0</v>
      </c>
      <c r="K62" s="33">
        <f t="shared" si="71"/>
        <v>0</v>
      </c>
      <c r="L62" s="33">
        <f t="shared" si="71"/>
        <v>0</v>
      </c>
      <c r="M62" s="33">
        <f t="shared" si="71"/>
        <v>0</v>
      </c>
      <c r="N62" s="33">
        <f t="shared" si="71"/>
        <v>0</v>
      </c>
      <c r="O62" s="33">
        <f t="shared" si="71"/>
        <v>0</v>
      </c>
      <c r="P62" s="33">
        <f t="shared" si="71"/>
        <v>0</v>
      </c>
      <c r="Q62" s="33">
        <f t="shared" si="71"/>
        <v>0</v>
      </c>
      <c r="R62" s="33">
        <f t="shared" si="71"/>
        <v>0</v>
      </c>
      <c r="S62" s="33">
        <f t="shared" si="71"/>
        <v>0</v>
      </c>
      <c r="T62" s="33">
        <f t="shared" si="71"/>
        <v>0</v>
      </c>
      <c r="U62" s="33">
        <f t="shared" si="71"/>
        <v>0</v>
      </c>
      <c r="V62" s="33">
        <f t="shared" si="71"/>
        <v>0</v>
      </c>
      <c r="W62" s="33">
        <f t="shared" si="71"/>
        <v>0</v>
      </c>
      <c r="X62" s="33">
        <f t="shared" si="71"/>
        <v>0</v>
      </c>
      <c r="Y62" s="33">
        <f t="shared" si="71"/>
        <v>0</v>
      </c>
      <c r="Z62" s="33">
        <f t="shared" si="71"/>
        <v>0</v>
      </c>
      <c r="AA62" s="31"/>
      <c r="AB62" s="31"/>
    </row>
    <row r="63" spans="1:28" ht="13.2" x14ac:dyDescent="0.25">
      <c r="A63" s="27"/>
      <c r="B63" s="28"/>
      <c r="C63" s="27"/>
      <c r="D63" s="29"/>
      <c r="E63" s="27">
        <f t="shared" si="32"/>
        <v>0</v>
      </c>
      <c r="F63" s="30">
        <f t="shared" si="4"/>
        <v>0</v>
      </c>
      <c r="G63" s="31"/>
      <c r="H63" s="32">
        <f t="shared" si="5"/>
        <v>0</v>
      </c>
      <c r="I63" s="33">
        <f t="shared" si="19"/>
        <v>0</v>
      </c>
      <c r="J63" s="33">
        <f t="shared" ref="J63:Z63" si="72">I63</f>
        <v>0</v>
      </c>
      <c r="K63" s="33">
        <f t="shared" si="72"/>
        <v>0</v>
      </c>
      <c r="L63" s="33">
        <f t="shared" si="72"/>
        <v>0</v>
      </c>
      <c r="M63" s="33">
        <f t="shared" si="72"/>
        <v>0</v>
      </c>
      <c r="N63" s="33">
        <f t="shared" si="72"/>
        <v>0</v>
      </c>
      <c r="O63" s="33">
        <f t="shared" si="72"/>
        <v>0</v>
      </c>
      <c r="P63" s="33">
        <f t="shared" si="72"/>
        <v>0</v>
      </c>
      <c r="Q63" s="33">
        <f t="shared" si="72"/>
        <v>0</v>
      </c>
      <c r="R63" s="33">
        <f t="shared" si="72"/>
        <v>0</v>
      </c>
      <c r="S63" s="33">
        <f t="shared" si="72"/>
        <v>0</v>
      </c>
      <c r="T63" s="33">
        <f t="shared" si="72"/>
        <v>0</v>
      </c>
      <c r="U63" s="33">
        <f t="shared" si="72"/>
        <v>0</v>
      </c>
      <c r="V63" s="33">
        <f t="shared" si="72"/>
        <v>0</v>
      </c>
      <c r="W63" s="33">
        <f t="shared" si="72"/>
        <v>0</v>
      </c>
      <c r="X63" s="33">
        <f t="shared" si="72"/>
        <v>0</v>
      </c>
      <c r="Y63" s="33">
        <f t="shared" si="72"/>
        <v>0</v>
      </c>
      <c r="Z63" s="33">
        <f t="shared" si="72"/>
        <v>0</v>
      </c>
      <c r="AA63" s="31"/>
      <c r="AB63" s="31"/>
    </row>
    <row r="64" spans="1:28" ht="13.2" x14ac:dyDescent="0.25">
      <c r="A64" s="27"/>
      <c r="B64" s="28"/>
      <c r="C64" s="27"/>
      <c r="D64" s="29"/>
      <c r="E64" s="27">
        <f t="shared" si="32"/>
        <v>0</v>
      </c>
      <c r="F64" s="30">
        <f t="shared" si="4"/>
        <v>0</v>
      </c>
      <c r="G64" s="31"/>
      <c r="H64" s="32">
        <f t="shared" si="5"/>
        <v>0</v>
      </c>
      <c r="I64" s="33">
        <f t="shared" si="19"/>
        <v>0</v>
      </c>
      <c r="J64" s="33">
        <f t="shared" ref="J64:Z64" si="73">I64</f>
        <v>0</v>
      </c>
      <c r="K64" s="33">
        <f t="shared" si="73"/>
        <v>0</v>
      </c>
      <c r="L64" s="33">
        <f t="shared" si="73"/>
        <v>0</v>
      </c>
      <c r="M64" s="33">
        <f t="shared" si="73"/>
        <v>0</v>
      </c>
      <c r="N64" s="33">
        <f t="shared" si="73"/>
        <v>0</v>
      </c>
      <c r="O64" s="33">
        <f t="shared" si="73"/>
        <v>0</v>
      </c>
      <c r="P64" s="33">
        <f t="shared" si="73"/>
        <v>0</v>
      </c>
      <c r="Q64" s="33">
        <f t="shared" si="73"/>
        <v>0</v>
      </c>
      <c r="R64" s="33">
        <f t="shared" si="73"/>
        <v>0</v>
      </c>
      <c r="S64" s="33">
        <f t="shared" si="73"/>
        <v>0</v>
      </c>
      <c r="T64" s="33">
        <f t="shared" si="73"/>
        <v>0</v>
      </c>
      <c r="U64" s="33">
        <f t="shared" si="73"/>
        <v>0</v>
      </c>
      <c r="V64" s="33">
        <f t="shared" si="73"/>
        <v>0</v>
      </c>
      <c r="W64" s="33">
        <f t="shared" si="73"/>
        <v>0</v>
      </c>
      <c r="X64" s="33">
        <f t="shared" si="73"/>
        <v>0</v>
      </c>
      <c r="Y64" s="33">
        <f t="shared" si="73"/>
        <v>0</v>
      </c>
      <c r="Z64" s="33">
        <f t="shared" si="73"/>
        <v>0</v>
      </c>
      <c r="AA64" s="31"/>
      <c r="AB64" s="31"/>
    </row>
    <row r="65" spans="1:28" ht="13.2" x14ac:dyDescent="0.25">
      <c r="A65" s="27"/>
      <c r="B65" s="28"/>
      <c r="C65" s="27"/>
      <c r="D65" s="29"/>
      <c r="E65" s="27">
        <f t="shared" si="32"/>
        <v>0</v>
      </c>
      <c r="F65" s="30">
        <f t="shared" si="4"/>
        <v>0</v>
      </c>
      <c r="G65" s="31"/>
      <c r="H65" s="32">
        <f t="shared" si="5"/>
        <v>0</v>
      </c>
      <c r="I65" s="33">
        <f t="shared" si="19"/>
        <v>0</v>
      </c>
      <c r="J65" s="33">
        <f t="shared" ref="J65:Z65" si="74">I65</f>
        <v>0</v>
      </c>
      <c r="K65" s="33">
        <f t="shared" si="74"/>
        <v>0</v>
      </c>
      <c r="L65" s="33">
        <f t="shared" si="74"/>
        <v>0</v>
      </c>
      <c r="M65" s="33">
        <f t="shared" si="74"/>
        <v>0</v>
      </c>
      <c r="N65" s="33">
        <f t="shared" si="74"/>
        <v>0</v>
      </c>
      <c r="O65" s="33">
        <f t="shared" si="74"/>
        <v>0</v>
      </c>
      <c r="P65" s="33">
        <f t="shared" si="74"/>
        <v>0</v>
      </c>
      <c r="Q65" s="33">
        <f t="shared" si="74"/>
        <v>0</v>
      </c>
      <c r="R65" s="33">
        <f t="shared" si="74"/>
        <v>0</v>
      </c>
      <c r="S65" s="33">
        <f t="shared" si="74"/>
        <v>0</v>
      </c>
      <c r="T65" s="33">
        <f t="shared" si="74"/>
        <v>0</v>
      </c>
      <c r="U65" s="33">
        <f t="shared" si="74"/>
        <v>0</v>
      </c>
      <c r="V65" s="33">
        <f t="shared" si="74"/>
        <v>0</v>
      </c>
      <c r="W65" s="33">
        <f t="shared" si="74"/>
        <v>0</v>
      </c>
      <c r="X65" s="33">
        <f t="shared" si="74"/>
        <v>0</v>
      </c>
      <c r="Y65" s="33">
        <f t="shared" si="74"/>
        <v>0</v>
      </c>
      <c r="Z65" s="33">
        <f t="shared" si="74"/>
        <v>0</v>
      </c>
      <c r="AA65" s="31"/>
      <c r="AB65" s="31"/>
    </row>
    <row r="66" spans="1:28" ht="13.2" x14ac:dyDescent="0.25">
      <c r="A66" s="27"/>
      <c r="B66" s="28"/>
      <c r="C66" s="27"/>
      <c r="D66" s="29"/>
      <c r="E66" s="27">
        <f t="shared" si="32"/>
        <v>0</v>
      </c>
      <c r="F66" s="30">
        <f t="shared" si="4"/>
        <v>0</v>
      </c>
      <c r="G66" s="31"/>
      <c r="H66" s="32">
        <f t="shared" si="5"/>
        <v>0</v>
      </c>
      <c r="I66" s="33">
        <f t="shared" si="19"/>
        <v>0</v>
      </c>
      <c r="J66" s="33">
        <f t="shared" ref="J66:Z66" si="75">I66</f>
        <v>0</v>
      </c>
      <c r="K66" s="33">
        <f t="shared" si="75"/>
        <v>0</v>
      </c>
      <c r="L66" s="33">
        <f t="shared" si="75"/>
        <v>0</v>
      </c>
      <c r="M66" s="33">
        <f t="shared" si="75"/>
        <v>0</v>
      </c>
      <c r="N66" s="33">
        <f t="shared" si="75"/>
        <v>0</v>
      </c>
      <c r="O66" s="33">
        <f t="shared" si="75"/>
        <v>0</v>
      </c>
      <c r="P66" s="33">
        <f t="shared" si="75"/>
        <v>0</v>
      </c>
      <c r="Q66" s="33">
        <f t="shared" si="75"/>
        <v>0</v>
      </c>
      <c r="R66" s="33">
        <f t="shared" si="75"/>
        <v>0</v>
      </c>
      <c r="S66" s="33">
        <f t="shared" si="75"/>
        <v>0</v>
      </c>
      <c r="T66" s="33">
        <f t="shared" si="75"/>
        <v>0</v>
      </c>
      <c r="U66" s="33">
        <f t="shared" si="75"/>
        <v>0</v>
      </c>
      <c r="V66" s="33">
        <f t="shared" si="75"/>
        <v>0</v>
      </c>
      <c r="W66" s="33">
        <f t="shared" si="75"/>
        <v>0</v>
      </c>
      <c r="X66" s="33">
        <f t="shared" si="75"/>
        <v>0</v>
      </c>
      <c r="Y66" s="33">
        <f t="shared" si="75"/>
        <v>0</v>
      </c>
      <c r="Z66" s="33">
        <f t="shared" si="75"/>
        <v>0</v>
      </c>
      <c r="AA66" s="31"/>
      <c r="AB66" s="31"/>
    </row>
    <row r="67" spans="1:28" ht="13.2" x14ac:dyDescent="0.25">
      <c r="A67" s="27"/>
      <c r="B67" s="28"/>
      <c r="C67" s="27"/>
      <c r="D67" s="29"/>
      <c r="E67" s="27">
        <f t="shared" si="32"/>
        <v>0</v>
      </c>
      <c r="F67" s="30">
        <f t="shared" si="4"/>
        <v>0</v>
      </c>
      <c r="G67" s="31"/>
      <c r="H67" s="32">
        <f t="shared" si="5"/>
        <v>0</v>
      </c>
      <c r="I67" s="33">
        <f t="shared" si="19"/>
        <v>0</v>
      </c>
      <c r="J67" s="33">
        <f t="shared" ref="J67:Z67" si="76">I67</f>
        <v>0</v>
      </c>
      <c r="K67" s="33">
        <f t="shared" si="76"/>
        <v>0</v>
      </c>
      <c r="L67" s="33">
        <f t="shared" si="76"/>
        <v>0</v>
      </c>
      <c r="M67" s="33">
        <f t="shared" si="76"/>
        <v>0</v>
      </c>
      <c r="N67" s="33">
        <f t="shared" si="76"/>
        <v>0</v>
      </c>
      <c r="O67" s="33">
        <f t="shared" si="76"/>
        <v>0</v>
      </c>
      <c r="P67" s="33">
        <f t="shared" si="76"/>
        <v>0</v>
      </c>
      <c r="Q67" s="33">
        <f t="shared" si="76"/>
        <v>0</v>
      </c>
      <c r="R67" s="33">
        <f t="shared" si="76"/>
        <v>0</v>
      </c>
      <c r="S67" s="33">
        <f t="shared" si="76"/>
        <v>0</v>
      </c>
      <c r="T67" s="33">
        <f t="shared" si="76"/>
        <v>0</v>
      </c>
      <c r="U67" s="33">
        <f t="shared" si="76"/>
        <v>0</v>
      </c>
      <c r="V67" s="33">
        <f t="shared" si="76"/>
        <v>0</v>
      </c>
      <c r="W67" s="33">
        <f t="shared" si="76"/>
        <v>0</v>
      </c>
      <c r="X67" s="33">
        <f t="shared" si="76"/>
        <v>0</v>
      </c>
      <c r="Y67" s="33">
        <f t="shared" si="76"/>
        <v>0</v>
      </c>
      <c r="Z67" s="33">
        <f t="shared" si="76"/>
        <v>0</v>
      </c>
      <c r="AA67" s="31"/>
      <c r="AB67" s="31"/>
    </row>
    <row r="68" spans="1:28" ht="13.2" x14ac:dyDescent="0.25">
      <c r="A68" s="27"/>
      <c r="B68" s="28"/>
      <c r="C68" s="27"/>
      <c r="D68" s="29"/>
      <c r="E68" s="27">
        <f t="shared" si="32"/>
        <v>0</v>
      </c>
      <c r="F68" s="30">
        <f t="shared" si="4"/>
        <v>0</v>
      </c>
      <c r="G68" s="31"/>
      <c r="H68" s="32">
        <f t="shared" si="5"/>
        <v>0</v>
      </c>
      <c r="I68" s="33">
        <f t="shared" si="19"/>
        <v>0</v>
      </c>
      <c r="J68" s="33">
        <f t="shared" ref="J68:Z68" si="77">I68</f>
        <v>0</v>
      </c>
      <c r="K68" s="33">
        <f t="shared" si="77"/>
        <v>0</v>
      </c>
      <c r="L68" s="33">
        <f t="shared" si="77"/>
        <v>0</v>
      </c>
      <c r="M68" s="33">
        <f t="shared" si="77"/>
        <v>0</v>
      </c>
      <c r="N68" s="33">
        <f t="shared" si="77"/>
        <v>0</v>
      </c>
      <c r="O68" s="33">
        <f t="shared" si="77"/>
        <v>0</v>
      </c>
      <c r="P68" s="33">
        <f t="shared" si="77"/>
        <v>0</v>
      </c>
      <c r="Q68" s="33">
        <f t="shared" si="77"/>
        <v>0</v>
      </c>
      <c r="R68" s="33">
        <f t="shared" si="77"/>
        <v>0</v>
      </c>
      <c r="S68" s="33">
        <f t="shared" si="77"/>
        <v>0</v>
      </c>
      <c r="T68" s="33">
        <f t="shared" si="77"/>
        <v>0</v>
      </c>
      <c r="U68" s="33">
        <f t="shared" si="77"/>
        <v>0</v>
      </c>
      <c r="V68" s="33">
        <f t="shared" si="77"/>
        <v>0</v>
      </c>
      <c r="W68" s="33">
        <f t="shared" si="77"/>
        <v>0</v>
      </c>
      <c r="X68" s="33">
        <f t="shared" si="77"/>
        <v>0</v>
      </c>
      <c r="Y68" s="33">
        <f t="shared" si="77"/>
        <v>0</v>
      </c>
      <c r="Z68" s="33">
        <f t="shared" si="77"/>
        <v>0</v>
      </c>
      <c r="AA68" s="31"/>
      <c r="AB68" s="31"/>
    </row>
    <row r="69" spans="1:28" ht="13.2" x14ac:dyDescent="0.25">
      <c r="A69" s="27"/>
      <c r="B69" s="28"/>
      <c r="C69" s="27"/>
      <c r="D69" s="29"/>
      <c r="E69" s="27">
        <f t="shared" si="32"/>
        <v>0</v>
      </c>
      <c r="F69" s="30">
        <f t="shared" si="4"/>
        <v>0</v>
      </c>
      <c r="G69" s="31"/>
      <c r="H69" s="32">
        <f t="shared" si="5"/>
        <v>0</v>
      </c>
      <c r="I69" s="33">
        <f t="shared" si="19"/>
        <v>0</v>
      </c>
      <c r="J69" s="33">
        <f t="shared" ref="J69:Z69" si="78">I69</f>
        <v>0</v>
      </c>
      <c r="K69" s="33">
        <f t="shared" si="78"/>
        <v>0</v>
      </c>
      <c r="L69" s="33">
        <f t="shared" si="78"/>
        <v>0</v>
      </c>
      <c r="M69" s="33">
        <f t="shared" si="78"/>
        <v>0</v>
      </c>
      <c r="N69" s="33">
        <f t="shared" si="78"/>
        <v>0</v>
      </c>
      <c r="O69" s="33">
        <f t="shared" si="78"/>
        <v>0</v>
      </c>
      <c r="P69" s="33">
        <f t="shared" si="78"/>
        <v>0</v>
      </c>
      <c r="Q69" s="33">
        <f t="shared" si="78"/>
        <v>0</v>
      </c>
      <c r="R69" s="33">
        <f t="shared" si="78"/>
        <v>0</v>
      </c>
      <c r="S69" s="33">
        <f t="shared" si="78"/>
        <v>0</v>
      </c>
      <c r="T69" s="33">
        <f t="shared" si="78"/>
        <v>0</v>
      </c>
      <c r="U69" s="33">
        <f t="shared" si="78"/>
        <v>0</v>
      </c>
      <c r="V69" s="33">
        <f t="shared" si="78"/>
        <v>0</v>
      </c>
      <c r="W69" s="33">
        <f t="shared" si="78"/>
        <v>0</v>
      </c>
      <c r="X69" s="33">
        <f t="shared" si="78"/>
        <v>0</v>
      </c>
      <c r="Y69" s="33">
        <f t="shared" si="78"/>
        <v>0</v>
      </c>
      <c r="Z69" s="33">
        <f t="shared" si="78"/>
        <v>0</v>
      </c>
      <c r="AA69" s="31"/>
      <c r="AB69" s="31"/>
    </row>
    <row r="70" spans="1:28" ht="13.2" x14ac:dyDescent="0.25">
      <c r="A70" s="27"/>
      <c r="B70" s="28"/>
      <c r="C70" s="27"/>
      <c r="D70" s="29"/>
      <c r="E70" s="27">
        <f t="shared" si="32"/>
        <v>0</v>
      </c>
      <c r="F70" s="30">
        <f t="shared" si="4"/>
        <v>0</v>
      </c>
      <c r="G70" s="31"/>
      <c r="H70" s="32">
        <f t="shared" si="5"/>
        <v>0</v>
      </c>
      <c r="I70" s="33">
        <f t="shared" si="19"/>
        <v>0</v>
      </c>
      <c r="J70" s="33">
        <f t="shared" ref="J70:Z70" si="79">I70</f>
        <v>0</v>
      </c>
      <c r="K70" s="33">
        <f t="shared" si="79"/>
        <v>0</v>
      </c>
      <c r="L70" s="33">
        <f t="shared" si="79"/>
        <v>0</v>
      </c>
      <c r="M70" s="33">
        <f t="shared" si="79"/>
        <v>0</v>
      </c>
      <c r="N70" s="33">
        <f t="shared" si="79"/>
        <v>0</v>
      </c>
      <c r="O70" s="33">
        <f t="shared" si="79"/>
        <v>0</v>
      </c>
      <c r="P70" s="33">
        <f t="shared" si="79"/>
        <v>0</v>
      </c>
      <c r="Q70" s="33">
        <f t="shared" si="79"/>
        <v>0</v>
      </c>
      <c r="R70" s="33">
        <f t="shared" si="79"/>
        <v>0</v>
      </c>
      <c r="S70" s="33">
        <f t="shared" si="79"/>
        <v>0</v>
      </c>
      <c r="T70" s="33">
        <f t="shared" si="79"/>
        <v>0</v>
      </c>
      <c r="U70" s="33">
        <f t="shared" si="79"/>
        <v>0</v>
      </c>
      <c r="V70" s="33">
        <f t="shared" si="79"/>
        <v>0</v>
      </c>
      <c r="W70" s="33">
        <f t="shared" si="79"/>
        <v>0</v>
      </c>
      <c r="X70" s="33">
        <f t="shared" si="79"/>
        <v>0</v>
      </c>
      <c r="Y70" s="33">
        <f t="shared" si="79"/>
        <v>0</v>
      </c>
      <c r="Z70" s="33">
        <f t="shared" si="79"/>
        <v>0</v>
      </c>
      <c r="AA70" s="31"/>
      <c r="AB70" s="31"/>
    </row>
    <row r="71" spans="1:28" ht="13.2" x14ac:dyDescent="0.25">
      <c r="A71" s="27"/>
      <c r="B71" s="28"/>
      <c r="C71" s="27"/>
      <c r="D71" s="29"/>
      <c r="E71" s="27">
        <f t="shared" si="32"/>
        <v>0</v>
      </c>
      <c r="F71" s="30">
        <f t="shared" si="4"/>
        <v>0</v>
      </c>
      <c r="G71" s="31"/>
      <c r="H71" s="32">
        <f t="shared" si="5"/>
        <v>0</v>
      </c>
      <c r="I71" s="33">
        <f t="shared" si="19"/>
        <v>0</v>
      </c>
      <c r="J71" s="33">
        <f t="shared" ref="J71:Z71" si="80">I71</f>
        <v>0</v>
      </c>
      <c r="K71" s="33">
        <f t="shared" si="80"/>
        <v>0</v>
      </c>
      <c r="L71" s="33">
        <f t="shared" si="80"/>
        <v>0</v>
      </c>
      <c r="M71" s="33">
        <f t="shared" si="80"/>
        <v>0</v>
      </c>
      <c r="N71" s="33">
        <f t="shared" si="80"/>
        <v>0</v>
      </c>
      <c r="O71" s="33">
        <f t="shared" si="80"/>
        <v>0</v>
      </c>
      <c r="P71" s="33">
        <f t="shared" si="80"/>
        <v>0</v>
      </c>
      <c r="Q71" s="33">
        <f t="shared" si="80"/>
        <v>0</v>
      </c>
      <c r="R71" s="33">
        <f t="shared" si="80"/>
        <v>0</v>
      </c>
      <c r="S71" s="33">
        <f t="shared" si="80"/>
        <v>0</v>
      </c>
      <c r="T71" s="33">
        <f t="shared" si="80"/>
        <v>0</v>
      </c>
      <c r="U71" s="33">
        <f t="shared" si="80"/>
        <v>0</v>
      </c>
      <c r="V71" s="33">
        <f t="shared" si="80"/>
        <v>0</v>
      </c>
      <c r="W71" s="33">
        <f t="shared" si="80"/>
        <v>0</v>
      </c>
      <c r="X71" s="33">
        <f t="shared" si="80"/>
        <v>0</v>
      </c>
      <c r="Y71" s="33">
        <f t="shared" si="80"/>
        <v>0</v>
      </c>
      <c r="Z71" s="33">
        <f t="shared" si="80"/>
        <v>0</v>
      </c>
      <c r="AA71" s="31"/>
      <c r="AB71" s="31"/>
    </row>
    <row r="72" spans="1:28" ht="13.2" x14ac:dyDescent="0.25">
      <c r="A72" s="27"/>
      <c r="B72" s="28"/>
      <c r="C72" s="27"/>
      <c r="D72" s="29"/>
      <c r="E72" s="27">
        <f t="shared" si="32"/>
        <v>0</v>
      </c>
      <c r="F72" s="30">
        <f t="shared" si="4"/>
        <v>0</v>
      </c>
      <c r="G72" s="31"/>
      <c r="H72" s="32">
        <f t="shared" si="5"/>
        <v>0</v>
      </c>
      <c r="I72" s="33">
        <f t="shared" si="19"/>
        <v>0</v>
      </c>
      <c r="J72" s="33">
        <f t="shared" ref="J72:Z72" si="81">I72</f>
        <v>0</v>
      </c>
      <c r="K72" s="33">
        <f t="shared" si="81"/>
        <v>0</v>
      </c>
      <c r="L72" s="33">
        <f t="shared" si="81"/>
        <v>0</v>
      </c>
      <c r="M72" s="33">
        <f t="shared" si="81"/>
        <v>0</v>
      </c>
      <c r="N72" s="33">
        <f t="shared" si="81"/>
        <v>0</v>
      </c>
      <c r="O72" s="33">
        <f t="shared" si="81"/>
        <v>0</v>
      </c>
      <c r="P72" s="33">
        <f t="shared" si="81"/>
        <v>0</v>
      </c>
      <c r="Q72" s="33">
        <f t="shared" si="81"/>
        <v>0</v>
      </c>
      <c r="R72" s="33">
        <f t="shared" si="81"/>
        <v>0</v>
      </c>
      <c r="S72" s="33">
        <f t="shared" si="81"/>
        <v>0</v>
      </c>
      <c r="T72" s="33">
        <f t="shared" si="81"/>
        <v>0</v>
      </c>
      <c r="U72" s="33">
        <f t="shared" si="81"/>
        <v>0</v>
      </c>
      <c r="V72" s="33">
        <f t="shared" si="81"/>
        <v>0</v>
      </c>
      <c r="W72" s="33">
        <f t="shared" si="81"/>
        <v>0</v>
      </c>
      <c r="X72" s="33">
        <f t="shared" si="81"/>
        <v>0</v>
      </c>
      <c r="Y72" s="33">
        <f t="shared" si="81"/>
        <v>0</v>
      </c>
      <c r="Z72" s="33">
        <f t="shared" si="81"/>
        <v>0</v>
      </c>
      <c r="AA72" s="31"/>
      <c r="AB72" s="31"/>
    </row>
    <row r="73" spans="1:28" ht="13.2" x14ac:dyDescent="0.25">
      <c r="A73" s="27"/>
      <c r="B73" s="28"/>
      <c r="C73" s="27"/>
      <c r="D73" s="29"/>
      <c r="E73" s="27">
        <f t="shared" si="32"/>
        <v>0</v>
      </c>
      <c r="F73" s="30">
        <f t="shared" si="4"/>
        <v>0</v>
      </c>
      <c r="G73" s="31"/>
      <c r="H73" s="32">
        <f t="shared" si="5"/>
        <v>0</v>
      </c>
      <c r="I73" s="33">
        <f t="shared" si="19"/>
        <v>0</v>
      </c>
      <c r="J73" s="33">
        <f t="shared" ref="J73:Z73" si="82">I73</f>
        <v>0</v>
      </c>
      <c r="K73" s="33">
        <f t="shared" si="82"/>
        <v>0</v>
      </c>
      <c r="L73" s="33">
        <f t="shared" si="82"/>
        <v>0</v>
      </c>
      <c r="M73" s="33">
        <f t="shared" si="82"/>
        <v>0</v>
      </c>
      <c r="N73" s="33">
        <f t="shared" si="82"/>
        <v>0</v>
      </c>
      <c r="O73" s="33">
        <f t="shared" si="82"/>
        <v>0</v>
      </c>
      <c r="P73" s="33">
        <f t="shared" si="82"/>
        <v>0</v>
      </c>
      <c r="Q73" s="33">
        <f t="shared" si="82"/>
        <v>0</v>
      </c>
      <c r="R73" s="33">
        <f t="shared" si="82"/>
        <v>0</v>
      </c>
      <c r="S73" s="33">
        <f t="shared" si="82"/>
        <v>0</v>
      </c>
      <c r="T73" s="33">
        <f t="shared" si="82"/>
        <v>0</v>
      </c>
      <c r="U73" s="33">
        <f t="shared" si="82"/>
        <v>0</v>
      </c>
      <c r="V73" s="33">
        <f t="shared" si="82"/>
        <v>0</v>
      </c>
      <c r="W73" s="33">
        <f t="shared" si="82"/>
        <v>0</v>
      </c>
      <c r="X73" s="33">
        <f t="shared" si="82"/>
        <v>0</v>
      </c>
      <c r="Y73" s="33">
        <f t="shared" si="82"/>
        <v>0</v>
      </c>
      <c r="Z73" s="33">
        <f t="shared" si="82"/>
        <v>0</v>
      </c>
      <c r="AA73" s="31"/>
      <c r="AB73" s="31"/>
    </row>
    <row r="74" spans="1:28" ht="13.2" x14ac:dyDescent="0.25">
      <c r="A74" s="27"/>
      <c r="B74" s="28"/>
      <c r="C74" s="27"/>
      <c r="D74" s="29"/>
      <c r="E74" s="27">
        <f t="shared" si="32"/>
        <v>0</v>
      </c>
      <c r="F74" s="30">
        <f t="shared" si="4"/>
        <v>0</v>
      </c>
      <c r="G74" s="31"/>
      <c r="H74" s="32">
        <f t="shared" si="5"/>
        <v>0</v>
      </c>
      <c r="I74" s="33">
        <f t="shared" si="19"/>
        <v>0</v>
      </c>
      <c r="J74" s="33">
        <f t="shared" ref="J74:Z74" si="83">I74</f>
        <v>0</v>
      </c>
      <c r="K74" s="33">
        <f t="shared" si="83"/>
        <v>0</v>
      </c>
      <c r="L74" s="33">
        <f t="shared" si="83"/>
        <v>0</v>
      </c>
      <c r="M74" s="33">
        <f t="shared" si="83"/>
        <v>0</v>
      </c>
      <c r="N74" s="33">
        <f t="shared" si="83"/>
        <v>0</v>
      </c>
      <c r="O74" s="33">
        <f t="shared" si="83"/>
        <v>0</v>
      </c>
      <c r="P74" s="33">
        <f t="shared" si="83"/>
        <v>0</v>
      </c>
      <c r="Q74" s="33">
        <f t="shared" si="83"/>
        <v>0</v>
      </c>
      <c r="R74" s="33">
        <f t="shared" si="83"/>
        <v>0</v>
      </c>
      <c r="S74" s="33">
        <f t="shared" si="83"/>
        <v>0</v>
      </c>
      <c r="T74" s="33">
        <f t="shared" si="83"/>
        <v>0</v>
      </c>
      <c r="U74" s="33">
        <f t="shared" si="83"/>
        <v>0</v>
      </c>
      <c r="V74" s="33">
        <f t="shared" si="83"/>
        <v>0</v>
      </c>
      <c r="W74" s="33">
        <f t="shared" si="83"/>
        <v>0</v>
      </c>
      <c r="X74" s="33">
        <f t="shared" si="83"/>
        <v>0</v>
      </c>
      <c r="Y74" s="33">
        <f t="shared" si="83"/>
        <v>0</v>
      </c>
      <c r="Z74" s="33">
        <f t="shared" si="83"/>
        <v>0</v>
      </c>
      <c r="AA74" s="31"/>
      <c r="AB74" s="31"/>
    </row>
    <row r="75" spans="1:28" ht="13.2" x14ac:dyDescent="0.25">
      <c r="A75" s="27"/>
      <c r="B75" s="28"/>
      <c r="C75" s="27"/>
      <c r="D75" s="29"/>
      <c r="E75" s="27">
        <f t="shared" si="32"/>
        <v>0</v>
      </c>
      <c r="F75" s="30">
        <f t="shared" si="4"/>
        <v>0</v>
      </c>
      <c r="G75" s="31"/>
      <c r="H75" s="32">
        <f t="shared" si="5"/>
        <v>0</v>
      </c>
      <c r="I75" s="33">
        <f t="shared" si="19"/>
        <v>0</v>
      </c>
      <c r="J75" s="33">
        <f t="shared" ref="J75:Z75" si="84">I75</f>
        <v>0</v>
      </c>
      <c r="K75" s="33">
        <f t="shared" si="84"/>
        <v>0</v>
      </c>
      <c r="L75" s="33">
        <f t="shared" si="84"/>
        <v>0</v>
      </c>
      <c r="M75" s="33">
        <f t="shared" si="84"/>
        <v>0</v>
      </c>
      <c r="N75" s="33">
        <f t="shared" si="84"/>
        <v>0</v>
      </c>
      <c r="O75" s="33">
        <f t="shared" si="84"/>
        <v>0</v>
      </c>
      <c r="P75" s="33">
        <f t="shared" si="84"/>
        <v>0</v>
      </c>
      <c r="Q75" s="33">
        <f t="shared" si="84"/>
        <v>0</v>
      </c>
      <c r="R75" s="33">
        <f t="shared" si="84"/>
        <v>0</v>
      </c>
      <c r="S75" s="33">
        <f t="shared" si="84"/>
        <v>0</v>
      </c>
      <c r="T75" s="33">
        <f t="shared" si="84"/>
        <v>0</v>
      </c>
      <c r="U75" s="33">
        <f t="shared" si="84"/>
        <v>0</v>
      </c>
      <c r="V75" s="33">
        <f t="shared" si="84"/>
        <v>0</v>
      </c>
      <c r="W75" s="33">
        <f t="shared" si="84"/>
        <v>0</v>
      </c>
      <c r="X75" s="33">
        <f t="shared" si="84"/>
        <v>0</v>
      </c>
      <c r="Y75" s="33">
        <f t="shared" si="84"/>
        <v>0</v>
      </c>
      <c r="Z75" s="33">
        <f t="shared" si="84"/>
        <v>0</v>
      </c>
      <c r="AA75" s="31"/>
      <c r="AB75" s="31"/>
    </row>
    <row r="76" spans="1:28" ht="13.2" x14ac:dyDescent="0.25">
      <c r="A76" s="27"/>
      <c r="B76" s="28"/>
      <c r="C76" s="27"/>
      <c r="D76" s="29"/>
      <c r="E76" s="27">
        <f t="shared" si="32"/>
        <v>0</v>
      </c>
      <c r="F76" s="30">
        <f t="shared" si="4"/>
        <v>0</v>
      </c>
      <c r="G76" s="31"/>
      <c r="H76" s="32">
        <f t="shared" si="5"/>
        <v>0</v>
      </c>
      <c r="I76" s="33">
        <f t="shared" si="19"/>
        <v>0</v>
      </c>
      <c r="J76" s="33">
        <f t="shared" ref="J76:Z76" si="85">I76</f>
        <v>0</v>
      </c>
      <c r="K76" s="33">
        <f t="shared" si="85"/>
        <v>0</v>
      </c>
      <c r="L76" s="33">
        <f t="shared" si="85"/>
        <v>0</v>
      </c>
      <c r="M76" s="33">
        <f t="shared" si="85"/>
        <v>0</v>
      </c>
      <c r="N76" s="33">
        <f t="shared" si="85"/>
        <v>0</v>
      </c>
      <c r="O76" s="33">
        <f t="shared" si="85"/>
        <v>0</v>
      </c>
      <c r="P76" s="33">
        <f t="shared" si="85"/>
        <v>0</v>
      </c>
      <c r="Q76" s="33">
        <f t="shared" si="85"/>
        <v>0</v>
      </c>
      <c r="R76" s="33">
        <f t="shared" si="85"/>
        <v>0</v>
      </c>
      <c r="S76" s="33">
        <f t="shared" si="85"/>
        <v>0</v>
      </c>
      <c r="T76" s="33">
        <f t="shared" si="85"/>
        <v>0</v>
      </c>
      <c r="U76" s="33">
        <f t="shared" si="85"/>
        <v>0</v>
      </c>
      <c r="V76" s="33">
        <f t="shared" si="85"/>
        <v>0</v>
      </c>
      <c r="W76" s="33">
        <f t="shared" si="85"/>
        <v>0</v>
      </c>
      <c r="X76" s="33">
        <f t="shared" si="85"/>
        <v>0</v>
      </c>
      <c r="Y76" s="33">
        <f t="shared" si="85"/>
        <v>0</v>
      </c>
      <c r="Z76" s="33">
        <f t="shared" si="85"/>
        <v>0</v>
      </c>
      <c r="AA76" s="31"/>
      <c r="AB76" s="31"/>
    </row>
    <row r="77" spans="1:28" ht="13.2" x14ac:dyDescent="0.25">
      <c r="A77" s="27"/>
      <c r="B77" s="28"/>
      <c r="C77" s="27"/>
      <c r="D77" s="29"/>
      <c r="E77" s="27">
        <f t="shared" si="32"/>
        <v>0</v>
      </c>
      <c r="F77" s="30">
        <f t="shared" si="4"/>
        <v>0</v>
      </c>
      <c r="G77" s="31"/>
      <c r="H77" s="32">
        <f t="shared" si="5"/>
        <v>0</v>
      </c>
      <c r="I77" s="33">
        <f t="shared" si="19"/>
        <v>0</v>
      </c>
      <c r="J77" s="33">
        <f t="shared" ref="J77:Z77" si="86">I77</f>
        <v>0</v>
      </c>
      <c r="K77" s="33">
        <f t="shared" si="86"/>
        <v>0</v>
      </c>
      <c r="L77" s="33">
        <f t="shared" si="86"/>
        <v>0</v>
      </c>
      <c r="M77" s="33">
        <f t="shared" si="86"/>
        <v>0</v>
      </c>
      <c r="N77" s="33">
        <f t="shared" si="86"/>
        <v>0</v>
      </c>
      <c r="O77" s="33">
        <f t="shared" si="86"/>
        <v>0</v>
      </c>
      <c r="P77" s="33">
        <f t="shared" si="86"/>
        <v>0</v>
      </c>
      <c r="Q77" s="33">
        <f t="shared" si="86"/>
        <v>0</v>
      </c>
      <c r="R77" s="33">
        <f t="shared" si="86"/>
        <v>0</v>
      </c>
      <c r="S77" s="33">
        <f t="shared" si="86"/>
        <v>0</v>
      </c>
      <c r="T77" s="33">
        <f t="shared" si="86"/>
        <v>0</v>
      </c>
      <c r="U77" s="33">
        <f t="shared" si="86"/>
        <v>0</v>
      </c>
      <c r="V77" s="33">
        <f t="shared" si="86"/>
        <v>0</v>
      </c>
      <c r="W77" s="33">
        <f t="shared" si="86"/>
        <v>0</v>
      </c>
      <c r="X77" s="33">
        <f t="shared" si="86"/>
        <v>0</v>
      </c>
      <c r="Y77" s="33">
        <f t="shared" si="86"/>
        <v>0</v>
      </c>
      <c r="Z77" s="33">
        <f t="shared" si="86"/>
        <v>0</v>
      </c>
      <c r="AA77" s="31"/>
      <c r="AB77" s="31"/>
    </row>
    <row r="78" spans="1:28" ht="13.2" x14ac:dyDescent="0.25">
      <c r="A78" s="27"/>
      <c r="B78" s="28"/>
      <c r="C78" s="27"/>
      <c r="D78" s="29"/>
      <c r="E78" s="27">
        <f t="shared" si="32"/>
        <v>0</v>
      </c>
      <c r="F78" s="30">
        <f t="shared" si="4"/>
        <v>0</v>
      </c>
      <c r="G78" s="31"/>
      <c r="H78" s="32">
        <f t="shared" si="5"/>
        <v>0</v>
      </c>
      <c r="I78" s="33">
        <f t="shared" si="19"/>
        <v>0</v>
      </c>
      <c r="J78" s="33">
        <f t="shared" ref="J78:Z78" si="87">I78</f>
        <v>0</v>
      </c>
      <c r="K78" s="33">
        <f t="shared" si="87"/>
        <v>0</v>
      </c>
      <c r="L78" s="33">
        <f t="shared" si="87"/>
        <v>0</v>
      </c>
      <c r="M78" s="33">
        <f t="shared" si="87"/>
        <v>0</v>
      </c>
      <c r="N78" s="33">
        <f t="shared" si="87"/>
        <v>0</v>
      </c>
      <c r="O78" s="33">
        <f t="shared" si="87"/>
        <v>0</v>
      </c>
      <c r="P78" s="33">
        <f t="shared" si="87"/>
        <v>0</v>
      </c>
      <c r="Q78" s="33">
        <f t="shared" si="87"/>
        <v>0</v>
      </c>
      <c r="R78" s="33">
        <f t="shared" si="87"/>
        <v>0</v>
      </c>
      <c r="S78" s="33">
        <f t="shared" si="87"/>
        <v>0</v>
      </c>
      <c r="T78" s="33">
        <f t="shared" si="87"/>
        <v>0</v>
      </c>
      <c r="U78" s="33">
        <f t="shared" si="87"/>
        <v>0</v>
      </c>
      <c r="V78" s="33">
        <f t="shared" si="87"/>
        <v>0</v>
      </c>
      <c r="W78" s="33">
        <f t="shared" si="87"/>
        <v>0</v>
      </c>
      <c r="X78" s="33">
        <f t="shared" si="87"/>
        <v>0</v>
      </c>
      <c r="Y78" s="33">
        <f t="shared" si="87"/>
        <v>0</v>
      </c>
      <c r="Z78" s="33">
        <f t="shared" si="87"/>
        <v>0</v>
      </c>
      <c r="AA78" s="31"/>
      <c r="AB78" s="31"/>
    </row>
    <row r="79" spans="1:28" ht="13.2" x14ac:dyDescent="0.25">
      <c r="A79" s="27"/>
      <c r="B79" s="28"/>
      <c r="C79" s="27"/>
      <c r="D79" s="29"/>
      <c r="E79" s="27">
        <f t="shared" si="32"/>
        <v>0</v>
      </c>
      <c r="F79" s="30">
        <f t="shared" si="4"/>
        <v>0</v>
      </c>
      <c r="G79" s="31"/>
      <c r="H79" s="32">
        <f t="shared" si="5"/>
        <v>0</v>
      </c>
      <c r="I79" s="33">
        <f t="shared" si="19"/>
        <v>0</v>
      </c>
      <c r="J79" s="33">
        <f t="shared" ref="J79:Z79" si="88">I79</f>
        <v>0</v>
      </c>
      <c r="K79" s="33">
        <f t="shared" si="88"/>
        <v>0</v>
      </c>
      <c r="L79" s="33">
        <f t="shared" si="88"/>
        <v>0</v>
      </c>
      <c r="M79" s="33">
        <f t="shared" si="88"/>
        <v>0</v>
      </c>
      <c r="N79" s="33">
        <f t="shared" si="88"/>
        <v>0</v>
      </c>
      <c r="O79" s="33">
        <f t="shared" si="88"/>
        <v>0</v>
      </c>
      <c r="P79" s="33">
        <f t="shared" si="88"/>
        <v>0</v>
      </c>
      <c r="Q79" s="33">
        <f t="shared" si="88"/>
        <v>0</v>
      </c>
      <c r="R79" s="33">
        <f t="shared" si="88"/>
        <v>0</v>
      </c>
      <c r="S79" s="33">
        <f t="shared" si="88"/>
        <v>0</v>
      </c>
      <c r="T79" s="33">
        <f t="shared" si="88"/>
        <v>0</v>
      </c>
      <c r="U79" s="33">
        <f t="shared" si="88"/>
        <v>0</v>
      </c>
      <c r="V79" s="33">
        <f t="shared" si="88"/>
        <v>0</v>
      </c>
      <c r="W79" s="33">
        <f t="shared" si="88"/>
        <v>0</v>
      </c>
      <c r="X79" s="33">
        <f t="shared" si="88"/>
        <v>0</v>
      </c>
      <c r="Y79" s="33">
        <f t="shared" si="88"/>
        <v>0</v>
      </c>
      <c r="Z79" s="33">
        <f t="shared" si="88"/>
        <v>0</v>
      </c>
      <c r="AA79" s="31"/>
      <c r="AB79" s="31"/>
    </row>
    <row r="80" spans="1:28" ht="13.2" x14ac:dyDescent="0.25">
      <c r="A80" s="27"/>
      <c r="B80" s="28"/>
      <c r="C80" s="27"/>
      <c r="D80" s="29"/>
      <c r="E80" s="27">
        <f t="shared" si="32"/>
        <v>0</v>
      </c>
      <c r="F80" s="30">
        <f t="shared" si="4"/>
        <v>0</v>
      </c>
      <c r="G80" s="31"/>
      <c r="H80" s="32">
        <f t="shared" si="5"/>
        <v>0</v>
      </c>
      <c r="I80" s="33">
        <f t="shared" si="19"/>
        <v>0</v>
      </c>
      <c r="J80" s="33">
        <f t="shared" ref="J80:Z80" si="89">I80</f>
        <v>0</v>
      </c>
      <c r="K80" s="33">
        <f t="shared" si="89"/>
        <v>0</v>
      </c>
      <c r="L80" s="33">
        <f t="shared" si="89"/>
        <v>0</v>
      </c>
      <c r="M80" s="33">
        <f t="shared" si="89"/>
        <v>0</v>
      </c>
      <c r="N80" s="33">
        <f t="shared" si="89"/>
        <v>0</v>
      </c>
      <c r="O80" s="33">
        <f t="shared" si="89"/>
        <v>0</v>
      </c>
      <c r="P80" s="33">
        <f t="shared" si="89"/>
        <v>0</v>
      </c>
      <c r="Q80" s="33">
        <f t="shared" si="89"/>
        <v>0</v>
      </c>
      <c r="R80" s="33">
        <f t="shared" si="89"/>
        <v>0</v>
      </c>
      <c r="S80" s="33">
        <f t="shared" si="89"/>
        <v>0</v>
      </c>
      <c r="T80" s="33">
        <f t="shared" si="89"/>
        <v>0</v>
      </c>
      <c r="U80" s="33">
        <f t="shared" si="89"/>
        <v>0</v>
      </c>
      <c r="V80" s="33">
        <f t="shared" si="89"/>
        <v>0</v>
      </c>
      <c r="W80" s="33">
        <f t="shared" si="89"/>
        <v>0</v>
      </c>
      <c r="X80" s="33">
        <f t="shared" si="89"/>
        <v>0</v>
      </c>
      <c r="Y80" s="33">
        <f t="shared" si="89"/>
        <v>0</v>
      </c>
      <c r="Z80" s="33">
        <f t="shared" si="89"/>
        <v>0</v>
      </c>
      <c r="AA80" s="31"/>
      <c r="AB80" s="31"/>
    </row>
    <row r="81" spans="1:28" ht="13.2" x14ac:dyDescent="0.25">
      <c r="A81" s="27"/>
      <c r="B81" s="28"/>
      <c r="C81" s="27"/>
      <c r="D81" s="29"/>
      <c r="E81" s="27">
        <f t="shared" si="32"/>
        <v>0</v>
      </c>
      <c r="F81" s="30">
        <f t="shared" si="4"/>
        <v>0</v>
      </c>
      <c r="G81" s="31"/>
      <c r="H81" s="32">
        <f t="shared" si="5"/>
        <v>0</v>
      </c>
      <c r="I81" s="33">
        <f t="shared" si="19"/>
        <v>0</v>
      </c>
      <c r="J81" s="33">
        <f t="shared" ref="J81:Z81" si="90">I81</f>
        <v>0</v>
      </c>
      <c r="K81" s="33">
        <f t="shared" si="90"/>
        <v>0</v>
      </c>
      <c r="L81" s="33">
        <f t="shared" si="90"/>
        <v>0</v>
      </c>
      <c r="M81" s="33">
        <f t="shared" si="90"/>
        <v>0</v>
      </c>
      <c r="N81" s="33">
        <f t="shared" si="90"/>
        <v>0</v>
      </c>
      <c r="O81" s="33">
        <f t="shared" si="90"/>
        <v>0</v>
      </c>
      <c r="P81" s="33">
        <f t="shared" si="90"/>
        <v>0</v>
      </c>
      <c r="Q81" s="33">
        <f t="shared" si="90"/>
        <v>0</v>
      </c>
      <c r="R81" s="33">
        <f t="shared" si="90"/>
        <v>0</v>
      </c>
      <c r="S81" s="33">
        <f t="shared" si="90"/>
        <v>0</v>
      </c>
      <c r="T81" s="33">
        <f t="shared" si="90"/>
        <v>0</v>
      </c>
      <c r="U81" s="33">
        <f t="shared" si="90"/>
        <v>0</v>
      </c>
      <c r="V81" s="33">
        <f t="shared" si="90"/>
        <v>0</v>
      </c>
      <c r="W81" s="33">
        <f t="shared" si="90"/>
        <v>0</v>
      </c>
      <c r="X81" s="33">
        <f t="shared" si="90"/>
        <v>0</v>
      </c>
      <c r="Y81" s="33">
        <f t="shared" si="90"/>
        <v>0</v>
      </c>
      <c r="Z81" s="33">
        <f t="shared" si="90"/>
        <v>0</v>
      </c>
      <c r="AA81" s="31"/>
      <c r="AB81" s="31"/>
    </row>
    <row r="82" spans="1:28" ht="13.2" x14ac:dyDescent="0.25">
      <c r="A82" s="27"/>
      <c r="B82" s="28"/>
      <c r="C82" s="27"/>
      <c r="D82" s="29"/>
      <c r="E82" s="27">
        <f t="shared" si="32"/>
        <v>0</v>
      </c>
      <c r="F82" s="30">
        <f t="shared" si="4"/>
        <v>0</v>
      </c>
      <c r="G82" s="31"/>
      <c r="H82" s="32">
        <f t="shared" si="5"/>
        <v>0</v>
      </c>
      <c r="I82" s="33">
        <f t="shared" si="19"/>
        <v>0</v>
      </c>
      <c r="J82" s="33">
        <f t="shared" ref="J82:Z82" si="91">I82</f>
        <v>0</v>
      </c>
      <c r="K82" s="33">
        <f t="shared" si="91"/>
        <v>0</v>
      </c>
      <c r="L82" s="33">
        <f t="shared" si="91"/>
        <v>0</v>
      </c>
      <c r="M82" s="33">
        <f t="shared" si="91"/>
        <v>0</v>
      </c>
      <c r="N82" s="33">
        <f t="shared" si="91"/>
        <v>0</v>
      </c>
      <c r="O82" s="33">
        <f t="shared" si="91"/>
        <v>0</v>
      </c>
      <c r="P82" s="33">
        <f t="shared" si="91"/>
        <v>0</v>
      </c>
      <c r="Q82" s="33">
        <f t="shared" si="91"/>
        <v>0</v>
      </c>
      <c r="R82" s="33">
        <f t="shared" si="91"/>
        <v>0</v>
      </c>
      <c r="S82" s="33">
        <f t="shared" si="91"/>
        <v>0</v>
      </c>
      <c r="T82" s="33">
        <f t="shared" si="91"/>
        <v>0</v>
      </c>
      <c r="U82" s="33">
        <f t="shared" si="91"/>
        <v>0</v>
      </c>
      <c r="V82" s="33">
        <f t="shared" si="91"/>
        <v>0</v>
      </c>
      <c r="W82" s="33">
        <f t="shared" si="91"/>
        <v>0</v>
      </c>
      <c r="X82" s="33">
        <f t="shared" si="91"/>
        <v>0</v>
      </c>
      <c r="Y82" s="33">
        <f t="shared" si="91"/>
        <v>0</v>
      </c>
      <c r="Z82" s="33">
        <f t="shared" si="91"/>
        <v>0</v>
      </c>
      <c r="AA82" s="31"/>
      <c r="AB82" s="31"/>
    </row>
    <row r="83" spans="1:28" ht="13.2" x14ac:dyDescent="0.25">
      <c r="A83" s="27"/>
      <c r="B83" s="28"/>
      <c r="C83" s="27"/>
      <c r="D83" s="29"/>
      <c r="E83" s="27">
        <f t="shared" si="32"/>
        <v>0</v>
      </c>
      <c r="F83" s="30">
        <f t="shared" si="4"/>
        <v>0</v>
      </c>
      <c r="G83" s="31"/>
      <c r="H83" s="32">
        <f t="shared" si="5"/>
        <v>0</v>
      </c>
      <c r="I83" s="33">
        <f t="shared" si="19"/>
        <v>0</v>
      </c>
      <c r="J83" s="33">
        <f t="shared" ref="J83:Z83" si="92">I83</f>
        <v>0</v>
      </c>
      <c r="K83" s="33">
        <f t="shared" si="92"/>
        <v>0</v>
      </c>
      <c r="L83" s="33">
        <f t="shared" si="92"/>
        <v>0</v>
      </c>
      <c r="M83" s="33">
        <f t="shared" si="92"/>
        <v>0</v>
      </c>
      <c r="N83" s="33">
        <f t="shared" si="92"/>
        <v>0</v>
      </c>
      <c r="O83" s="33">
        <f t="shared" si="92"/>
        <v>0</v>
      </c>
      <c r="P83" s="33">
        <f t="shared" si="92"/>
        <v>0</v>
      </c>
      <c r="Q83" s="33">
        <f t="shared" si="92"/>
        <v>0</v>
      </c>
      <c r="R83" s="33">
        <f t="shared" si="92"/>
        <v>0</v>
      </c>
      <c r="S83" s="33">
        <f t="shared" si="92"/>
        <v>0</v>
      </c>
      <c r="T83" s="33">
        <f t="shared" si="92"/>
        <v>0</v>
      </c>
      <c r="U83" s="33">
        <f t="shared" si="92"/>
        <v>0</v>
      </c>
      <c r="V83" s="33">
        <f t="shared" si="92"/>
        <v>0</v>
      </c>
      <c r="W83" s="33">
        <f t="shared" si="92"/>
        <v>0</v>
      </c>
      <c r="X83" s="33">
        <f t="shared" si="92"/>
        <v>0</v>
      </c>
      <c r="Y83" s="33">
        <f t="shared" si="92"/>
        <v>0</v>
      </c>
      <c r="Z83" s="33">
        <f t="shared" si="92"/>
        <v>0</v>
      </c>
      <c r="AA83" s="31"/>
      <c r="AB83" s="31"/>
    </row>
    <row r="84" spans="1:28" ht="13.2" x14ac:dyDescent="0.25">
      <c r="A84" s="27"/>
      <c r="B84" s="28"/>
      <c r="C84" s="27"/>
      <c r="D84" s="29"/>
      <c r="E84" s="27">
        <f t="shared" si="32"/>
        <v>0</v>
      </c>
      <c r="F84" s="30">
        <f t="shared" si="4"/>
        <v>0</v>
      </c>
      <c r="G84" s="31"/>
      <c r="H84" s="32">
        <f t="shared" si="5"/>
        <v>0</v>
      </c>
      <c r="I84" s="33">
        <f t="shared" si="19"/>
        <v>0</v>
      </c>
      <c r="J84" s="33">
        <f t="shared" ref="J84:Z84" si="93">I84</f>
        <v>0</v>
      </c>
      <c r="K84" s="33">
        <f t="shared" si="93"/>
        <v>0</v>
      </c>
      <c r="L84" s="33">
        <f t="shared" si="93"/>
        <v>0</v>
      </c>
      <c r="M84" s="33">
        <f t="shared" si="93"/>
        <v>0</v>
      </c>
      <c r="N84" s="33">
        <f t="shared" si="93"/>
        <v>0</v>
      </c>
      <c r="O84" s="33">
        <f t="shared" si="93"/>
        <v>0</v>
      </c>
      <c r="P84" s="33">
        <f t="shared" si="93"/>
        <v>0</v>
      </c>
      <c r="Q84" s="33">
        <f t="shared" si="93"/>
        <v>0</v>
      </c>
      <c r="R84" s="33">
        <f t="shared" si="93"/>
        <v>0</v>
      </c>
      <c r="S84" s="33">
        <f t="shared" si="93"/>
        <v>0</v>
      </c>
      <c r="T84" s="33">
        <f t="shared" si="93"/>
        <v>0</v>
      </c>
      <c r="U84" s="33">
        <f t="shared" si="93"/>
        <v>0</v>
      </c>
      <c r="V84" s="33">
        <f t="shared" si="93"/>
        <v>0</v>
      </c>
      <c r="W84" s="33">
        <f t="shared" si="93"/>
        <v>0</v>
      </c>
      <c r="X84" s="33">
        <f t="shared" si="93"/>
        <v>0</v>
      </c>
      <c r="Y84" s="33">
        <f t="shared" si="93"/>
        <v>0</v>
      </c>
      <c r="Z84" s="33">
        <f t="shared" si="93"/>
        <v>0</v>
      </c>
      <c r="AA84" s="31"/>
      <c r="AB84" s="31"/>
    </row>
    <row r="85" spans="1:28" ht="13.2" x14ac:dyDescent="0.25">
      <c r="A85" s="27"/>
      <c r="B85" s="28"/>
      <c r="C85" s="27"/>
      <c r="D85" s="29"/>
      <c r="E85" s="27">
        <f t="shared" si="32"/>
        <v>0</v>
      </c>
      <c r="F85" s="30">
        <f t="shared" si="4"/>
        <v>0</v>
      </c>
      <c r="G85" s="31"/>
      <c r="H85" s="32">
        <f t="shared" si="5"/>
        <v>0</v>
      </c>
      <c r="I85" s="33">
        <f t="shared" si="19"/>
        <v>0</v>
      </c>
      <c r="J85" s="33">
        <f t="shared" ref="J85:Z85" si="94">I85</f>
        <v>0</v>
      </c>
      <c r="K85" s="33">
        <f t="shared" si="94"/>
        <v>0</v>
      </c>
      <c r="L85" s="33">
        <f t="shared" si="94"/>
        <v>0</v>
      </c>
      <c r="M85" s="33">
        <f t="shared" si="94"/>
        <v>0</v>
      </c>
      <c r="N85" s="33">
        <f t="shared" si="94"/>
        <v>0</v>
      </c>
      <c r="O85" s="33">
        <f t="shared" si="94"/>
        <v>0</v>
      </c>
      <c r="P85" s="33">
        <f t="shared" si="94"/>
        <v>0</v>
      </c>
      <c r="Q85" s="33">
        <f t="shared" si="94"/>
        <v>0</v>
      </c>
      <c r="R85" s="33">
        <f t="shared" si="94"/>
        <v>0</v>
      </c>
      <c r="S85" s="33">
        <f t="shared" si="94"/>
        <v>0</v>
      </c>
      <c r="T85" s="33">
        <f t="shared" si="94"/>
        <v>0</v>
      </c>
      <c r="U85" s="33">
        <f t="shared" si="94"/>
        <v>0</v>
      </c>
      <c r="V85" s="33">
        <f t="shared" si="94"/>
        <v>0</v>
      </c>
      <c r="W85" s="33">
        <f t="shared" si="94"/>
        <v>0</v>
      </c>
      <c r="X85" s="33">
        <f t="shared" si="94"/>
        <v>0</v>
      </c>
      <c r="Y85" s="33">
        <f t="shared" si="94"/>
        <v>0</v>
      </c>
      <c r="Z85" s="33">
        <f t="shared" si="94"/>
        <v>0</v>
      </c>
      <c r="AA85" s="31"/>
      <c r="AB85" s="31"/>
    </row>
    <row r="86" spans="1:28" ht="13.2" x14ac:dyDescent="0.25">
      <c r="A86" s="27"/>
      <c r="B86" s="28"/>
      <c r="C86" s="27"/>
      <c r="D86" s="29"/>
      <c r="E86" s="27">
        <f t="shared" si="32"/>
        <v>0</v>
      </c>
      <c r="F86" s="30">
        <f t="shared" si="4"/>
        <v>0</v>
      </c>
      <c r="G86" s="31"/>
      <c r="H86" s="32">
        <f t="shared" si="5"/>
        <v>0</v>
      </c>
      <c r="I86" s="33">
        <f t="shared" si="19"/>
        <v>0</v>
      </c>
      <c r="J86" s="33">
        <f t="shared" ref="J86:Z86" si="95">I86</f>
        <v>0</v>
      </c>
      <c r="K86" s="33">
        <f t="shared" si="95"/>
        <v>0</v>
      </c>
      <c r="L86" s="33">
        <f t="shared" si="95"/>
        <v>0</v>
      </c>
      <c r="M86" s="33">
        <f t="shared" si="95"/>
        <v>0</v>
      </c>
      <c r="N86" s="33">
        <f t="shared" si="95"/>
        <v>0</v>
      </c>
      <c r="O86" s="33">
        <f t="shared" si="95"/>
        <v>0</v>
      </c>
      <c r="P86" s="33">
        <f t="shared" si="95"/>
        <v>0</v>
      </c>
      <c r="Q86" s="33">
        <f t="shared" si="95"/>
        <v>0</v>
      </c>
      <c r="R86" s="33">
        <f t="shared" si="95"/>
        <v>0</v>
      </c>
      <c r="S86" s="33">
        <f t="shared" si="95"/>
        <v>0</v>
      </c>
      <c r="T86" s="33">
        <f t="shared" si="95"/>
        <v>0</v>
      </c>
      <c r="U86" s="33">
        <f t="shared" si="95"/>
        <v>0</v>
      </c>
      <c r="V86" s="33">
        <f t="shared" si="95"/>
        <v>0</v>
      </c>
      <c r="W86" s="33">
        <f t="shared" si="95"/>
        <v>0</v>
      </c>
      <c r="X86" s="33">
        <f t="shared" si="95"/>
        <v>0</v>
      </c>
      <c r="Y86" s="33">
        <f t="shared" si="95"/>
        <v>0</v>
      </c>
      <c r="Z86" s="33">
        <f t="shared" si="95"/>
        <v>0</v>
      </c>
      <c r="AA86" s="31"/>
      <c r="AB86" s="31"/>
    </row>
    <row r="87" spans="1:28" ht="13.2" x14ac:dyDescent="0.25">
      <c r="A87" s="27"/>
      <c r="B87" s="28"/>
      <c r="C87" s="27"/>
      <c r="D87" s="29"/>
      <c r="E87" s="27">
        <f t="shared" si="32"/>
        <v>0</v>
      </c>
      <c r="F87" s="30">
        <f t="shared" si="4"/>
        <v>0</v>
      </c>
      <c r="G87" s="31"/>
      <c r="H87" s="32">
        <f t="shared" si="5"/>
        <v>0</v>
      </c>
      <c r="I87" s="33">
        <f t="shared" si="19"/>
        <v>0</v>
      </c>
      <c r="J87" s="33">
        <f t="shared" ref="J87:Z87" si="96">I87</f>
        <v>0</v>
      </c>
      <c r="K87" s="33">
        <f t="shared" si="96"/>
        <v>0</v>
      </c>
      <c r="L87" s="33">
        <f t="shared" si="96"/>
        <v>0</v>
      </c>
      <c r="M87" s="33">
        <f t="shared" si="96"/>
        <v>0</v>
      </c>
      <c r="N87" s="33">
        <f t="shared" si="96"/>
        <v>0</v>
      </c>
      <c r="O87" s="33">
        <f t="shared" si="96"/>
        <v>0</v>
      </c>
      <c r="P87" s="33">
        <f t="shared" si="96"/>
        <v>0</v>
      </c>
      <c r="Q87" s="33">
        <f t="shared" si="96"/>
        <v>0</v>
      </c>
      <c r="R87" s="33">
        <f t="shared" si="96"/>
        <v>0</v>
      </c>
      <c r="S87" s="33">
        <f t="shared" si="96"/>
        <v>0</v>
      </c>
      <c r="T87" s="33">
        <f t="shared" si="96"/>
        <v>0</v>
      </c>
      <c r="U87" s="33">
        <f t="shared" si="96"/>
        <v>0</v>
      </c>
      <c r="V87" s="33">
        <f t="shared" si="96"/>
        <v>0</v>
      </c>
      <c r="W87" s="33">
        <f t="shared" si="96"/>
        <v>0</v>
      </c>
      <c r="X87" s="33">
        <f t="shared" si="96"/>
        <v>0</v>
      </c>
      <c r="Y87" s="33">
        <f t="shared" si="96"/>
        <v>0</v>
      </c>
      <c r="Z87" s="33">
        <f t="shared" si="96"/>
        <v>0</v>
      </c>
      <c r="AA87" s="31"/>
      <c r="AB87" s="31"/>
    </row>
    <row r="88" spans="1:28" ht="13.2" x14ac:dyDescent="0.25">
      <c r="A88" s="27"/>
      <c r="B88" s="28"/>
      <c r="C88" s="27"/>
      <c r="D88" s="29"/>
      <c r="E88" s="27">
        <f t="shared" si="32"/>
        <v>0</v>
      </c>
      <c r="F88" s="30">
        <f t="shared" si="4"/>
        <v>0</v>
      </c>
      <c r="G88" s="31"/>
      <c r="H88" s="32">
        <f t="shared" si="5"/>
        <v>0</v>
      </c>
      <c r="I88" s="33">
        <f t="shared" si="19"/>
        <v>0</v>
      </c>
      <c r="J88" s="33">
        <f t="shared" ref="J88:Z88" si="97">I88</f>
        <v>0</v>
      </c>
      <c r="K88" s="33">
        <f t="shared" si="97"/>
        <v>0</v>
      </c>
      <c r="L88" s="33">
        <f t="shared" si="97"/>
        <v>0</v>
      </c>
      <c r="M88" s="33">
        <f t="shared" si="97"/>
        <v>0</v>
      </c>
      <c r="N88" s="33">
        <f t="shared" si="97"/>
        <v>0</v>
      </c>
      <c r="O88" s="33">
        <f t="shared" si="97"/>
        <v>0</v>
      </c>
      <c r="P88" s="33">
        <f t="shared" si="97"/>
        <v>0</v>
      </c>
      <c r="Q88" s="33">
        <f t="shared" si="97"/>
        <v>0</v>
      </c>
      <c r="R88" s="33">
        <f t="shared" si="97"/>
        <v>0</v>
      </c>
      <c r="S88" s="33">
        <f t="shared" si="97"/>
        <v>0</v>
      </c>
      <c r="T88" s="33">
        <f t="shared" si="97"/>
        <v>0</v>
      </c>
      <c r="U88" s="33">
        <f t="shared" si="97"/>
        <v>0</v>
      </c>
      <c r="V88" s="33">
        <f t="shared" si="97"/>
        <v>0</v>
      </c>
      <c r="W88" s="33">
        <f t="shared" si="97"/>
        <v>0</v>
      </c>
      <c r="X88" s="33">
        <f t="shared" si="97"/>
        <v>0</v>
      </c>
      <c r="Y88" s="33">
        <f t="shared" si="97"/>
        <v>0</v>
      </c>
      <c r="Z88" s="33">
        <f t="shared" si="97"/>
        <v>0</v>
      </c>
      <c r="AA88" s="31"/>
      <c r="AB88" s="31"/>
    </row>
    <row r="89" spans="1:28" ht="13.2" x14ac:dyDescent="0.25">
      <c r="A89" s="27"/>
      <c r="B89" s="28"/>
      <c r="C89" s="27"/>
      <c r="D89" s="29"/>
      <c r="E89" s="27">
        <f t="shared" si="32"/>
        <v>0</v>
      </c>
      <c r="F89" s="30">
        <f t="shared" si="4"/>
        <v>0</v>
      </c>
      <c r="G89" s="31"/>
      <c r="H89" s="32">
        <f t="shared" si="5"/>
        <v>0</v>
      </c>
      <c r="I89" s="33">
        <f t="shared" si="19"/>
        <v>0</v>
      </c>
      <c r="J89" s="33">
        <f t="shared" ref="J89:Z89" si="98">I89</f>
        <v>0</v>
      </c>
      <c r="K89" s="33">
        <f t="shared" si="98"/>
        <v>0</v>
      </c>
      <c r="L89" s="33">
        <f t="shared" si="98"/>
        <v>0</v>
      </c>
      <c r="M89" s="33">
        <f t="shared" si="98"/>
        <v>0</v>
      </c>
      <c r="N89" s="33">
        <f t="shared" si="98"/>
        <v>0</v>
      </c>
      <c r="O89" s="33">
        <f t="shared" si="98"/>
        <v>0</v>
      </c>
      <c r="P89" s="33">
        <f t="shared" si="98"/>
        <v>0</v>
      </c>
      <c r="Q89" s="33">
        <f t="shared" si="98"/>
        <v>0</v>
      </c>
      <c r="R89" s="33">
        <f t="shared" si="98"/>
        <v>0</v>
      </c>
      <c r="S89" s="33">
        <f t="shared" si="98"/>
        <v>0</v>
      </c>
      <c r="T89" s="33">
        <f t="shared" si="98"/>
        <v>0</v>
      </c>
      <c r="U89" s="33">
        <f t="shared" si="98"/>
        <v>0</v>
      </c>
      <c r="V89" s="33">
        <f t="shared" si="98"/>
        <v>0</v>
      </c>
      <c r="W89" s="33">
        <f t="shared" si="98"/>
        <v>0</v>
      </c>
      <c r="X89" s="33">
        <f t="shared" si="98"/>
        <v>0</v>
      </c>
      <c r="Y89" s="33">
        <f t="shared" si="98"/>
        <v>0</v>
      </c>
      <c r="Z89" s="33">
        <f t="shared" si="98"/>
        <v>0</v>
      </c>
      <c r="AA89" s="31"/>
      <c r="AB89" s="31"/>
    </row>
    <row r="90" spans="1:28" ht="13.2" x14ac:dyDescent="0.25">
      <c r="A90" s="27"/>
      <c r="B90" s="28"/>
      <c r="C90" s="27"/>
      <c r="D90" s="29"/>
      <c r="E90" s="27">
        <f t="shared" si="32"/>
        <v>0</v>
      </c>
      <c r="F90" s="30">
        <f t="shared" si="4"/>
        <v>0</v>
      </c>
      <c r="G90" s="31"/>
      <c r="H90" s="32">
        <f t="shared" si="5"/>
        <v>0</v>
      </c>
      <c r="I90" s="33">
        <f t="shared" si="19"/>
        <v>0</v>
      </c>
      <c r="J90" s="33">
        <f t="shared" ref="J90:Z90" si="99">I90</f>
        <v>0</v>
      </c>
      <c r="K90" s="33">
        <f t="shared" si="99"/>
        <v>0</v>
      </c>
      <c r="L90" s="33">
        <f t="shared" si="99"/>
        <v>0</v>
      </c>
      <c r="M90" s="33">
        <f t="shared" si="99"/>
        <v>0</v>
      </c>
      <c r="N90" s="33">
        <f t="shared" si="99"/>
        <v>0</v>
      </c>
      <c r="O90" s="33">
        <f t="shared" si="99"/>
        <v>0</v>
      </c>
      <c r="P90" s="33">
        <f t="shared" si="99"/>
        <v>0</v>
      </c>
      <c r="Q90" s="33">
        <f t="shared" si="99"/>
        <v>0</v>
      </c>
      <c r="R90" s="33">
        <f t="shared" si="99"/>
        <v>0</v>
      </c>
      <c r="S90" s="33">
        <f t="shared" si="99"/>
        <v>0</v>
      </c>
      <c r="T90" s="33">
        <f t="shared" si="99"/>
        <v>0</v>
      </c>
      <c r="U90" s="33">
        <f t="shared" si="99"/>
        <v>0</v>
      </c>
      <c r="V90" s="33">
        <f t="shared" si="99"/>
        <v>0</v>
      </c>
      <c r="W90" s="33">
        <f t="shared" si="99"/>
        <v>0</v>
      </c>
      <c r="X90" s="33">
        <f t="shared" si="99"/>
        <v>0</v>
      </c>
      <c r="Y90" s="33">
        <f t="shared" si="99"/>
        <v>0</v>
      </c>
      <c r="Z90" s="33">
        <f t="shared" si="99"/>
        <v>0</v>
      </c>
      <c r="AA90" s="31"/>
      <c r="AB90" s="31"/>
    </row>
    <row r="91" spans="1:28" ht="13.2" x14ac:dyDescent="0.25">
      <c r="A91" s="27"/>
      <c r="B91" s="28"/>
      <c r="C91" s="27"/>
      <c r="D91" s="29"/>
      <c r="E91" s="27">
        <f t="shared" si="32"/>
        <v>0</v>
      </c>
      <c r="F91" s="30">
        <f t="shared" si="4"/>
        <v>0</v>
      </c>
      <c r="G91" s="31"/>
      <c r="H91" s="32">
        <f t="shared" si="5"/>
        <v>0</v>
      </c>
      <c r="I91" s="33">
        <f t="shared" si="19"/>
        <v>0</v>
      </c>
      <c r="J91" s="33">
        <f t="shared" ref="J91:Z91" si="100">I91</f>
        <v>0</v>
      </c>
      <c r="K91" s="33">
        <f t="shared" si="100"/>
        <v>0</v>
      </c>
      <c r="L91" s="33">
        <f t="shared" si="100"/>
        <v>0</v>
      </c>
      <c r="M91" s="33">
        <f t="shared" si="100"/>
        <v>0</v>
      </c>
      <c r="N91" s="33">
        <f t="shared" si="100"/>
        <v>0</v>
      </c>
      <c r="O91" s="33">
        <f t="shared" si="100"/>
        <v>0</v>
      </c>
      <c r="P91" s="33">
        <f t="shared" si="100"/>
        <v>0</v>
      </c>
      <c r="Q91" s="33">
        <f t="shared" si="100"/>
        <v>0</v>
      </c>
      <c r="R91" s="33">
        <f t="shared" si="100"/>
        <v>0</v>
      </c>
      <c r="S91" s="33">
        <f t="shared" si="100"/>
        <v>0</v>
      </c>
      <c r="T91" s="33">
        <f t="shared" si="100"/>
        <v>0</v>
      </c>
      <c r="U91" s="33">
        <f t="shared" si="100"/>
        <v>0</v>
      </c>
      <c r="V91" s="33">
        <f t="shared" si="100"/>
        <v>0</v>
      </c>
      <c r="W91" s="33">
        <f t="shared" si="100"/>
        <v>0</v>
      </c>
      <c r="X91" s="33">
        <f t="shared" si="100"/>
        <v>0</v>
      </c>
      <c r="Y91" s="33">
        <f t="shared" si="100"/>
        <v>0</v>
      </c>
      <c r="Z91" s="33">
        <f t="shared" si="100"/>
        <v>0</v>
      </c>
      <c r="AA91" s="31"/>
      <c r="AB91" s="31"/>
    </row>
    <row r="92" spans="1:28" ht="13.2" x14ac:dyDescent="0.25">
      <c r="A92" s="27"/>
      <c r="B92" s="28"/>
      <c r="C92" s="27"/>
      <c r="D92" s="29"/>
      <c r="E92" s="27">
        <f t="shared" si="32"/>
        <v>0</v>
      </c>
      <c r="F92" s="30">
        <f t="shared" si="4"/>
        <v>0</v>
      </c>
      <c r="G92" s="31"/>
      <c r="H92" s="32">
        <f t="shared" si="5"/>
        <v>0</v>
      </c>
      <c r="I92" s="33">
        <f t="shared" si="19"/>
        <v>0</v>
      </c>
      <c r="J92" s="33">
        <f t="shared" ref="J92:Z92" si="101">I92</f>
        <v>0</v>
      </c>
      <c r="K92" s="33">
        <f t="shared" si="101"/>
        <v>0</v>
      </c>
      <c r="L92" s="33">
        <f t="shared" si="101"/>
        <v>0</v>
      </c>
      <c r="M92" s="33">
        <f t="shared" si="101"/>
        <v>0</v>
      </c>
      <c r="N92" s="33">
        <f t="shared" si="101"/>
        <v>0</v>
      </c>
      <c r="O92" s="33">
        <f t="shared" si="101"/>
        <v>0</v>
      </c>
      <c r="P92" s="33">
        <f t="shared" si="101"/>
        <v>0</v>
      </c>
      <c r="Q92" s="33">
        <f t="shared" si="101"/>
        <v>0</v>
      </c>
      <c r="R92" s="33">
        <f t="shared" si="101"/>
        <v>0</v>
      </c>
      <c r="S92" s="33">
        <f t="shared" si="101"/>
        <v>0</v>
      </c>
      <c r="T92" s="33">
        <f t="shared" si="101"/>
        <v>0</v>
      </c>
      <c r="U92" s="33">
        <f t="shared" si="101"/>
        <v>0</v>
      </c>
      <c r="V92" s="33">
        <f t="shared" si="101"/>
        <v>0</v>
      </c>
      <c r="W92" s="33">
        <f t="shared" si="101"/>
        <v>0</v>
      </c>
      <c r="X92" s="33">
        <f t="shared" si="101"/>
        <v>0</v>
      </c>
      <c r="Y92" s="33">
        <f t="shared" si="101"/>
        <v>0</v>
      </c>
      <c r="Z92" s="33">
        <f t="shared" si="101"/>
        <v>0</v>
      </c>
      <c r="AA92" s="31"/>
      <c r="AB92" s="31"/>
    </row>
    <row r="93" spans="1:28" ht="13.2" x14ac:dyDescent="0.25">
      <c r="A93" s="27"/>
      <c r="B93" s="28"/>
      <c r="C93" s="27"/>
      <c r="D93" s="29"/>
      <c r="E93" s="27">
        <f t="shared" si="32"/>
        <v>0</v>
      </c>
      <c r="F93" s="30">
        <f t="shared" si="4"/>
        <v>0</v>
      </c>
      <c r="G93" s="31"/>
      <c r="H93" s="32">
        <f t="shared" si="5"/>
        <v>0</v>
      </c>
      <c r="I93" s="33">
        <f t="shared" si="19"/>
        <v>0</v>
      </c>
      <c r="J93" s="33">
        <f t="shared" ref="J93:Z93" si="102">I93</f>
        <v>0</v>
      </c>
      <c r="K93" s="33">
        <f t="shared" si="102"/>
        <v>0</v>
      </c>
      <c r="L93" s="33">
        <f t="shared" si="102"/>
        <v>0</v>
      </c>
      <c r="M93" s="33">
        <f t="shared" si="102"/>
        <v>0</v>
      </c>
      <c r="N93" s="33">
        <f t="shared" si="102"/>
        <v>0</v>
      </c>
      <c r="O93" s="33">
        <f t="shared" si="102"/>
        <v>0</v>
      </c>
      <c r="P93" s="33">
        <f t="shared" si="102"/>
        <v>0</v>
      </c>
      <c r="Q93" s="33">
        <f t="shared" si="102"/>
        <v>0</v>
      </c>
      <c r="R93" s="33">
        <f t="shared" si="102"/>
        <v>0</v>
      </c>
      <c r="S93" s="33">
        <f t="shared" si="102"/>
        <v>0</v>
      </c>
      <c r="T93" s="33">
        <f t="shared" si="102"/>
        <v>0</v>
      </c>
      <c r="U93" s="33">
        <f t="shared" si="102"/>
        <v>0</v>
      </c>
      <c r="V93" s="33">
        <f t="shared" si="102"/>
        <v>0</v>
      </c>
      <c r="W93" s="33">
        <f t="shared" si="102"/>
        <v>0</v>
      </c>
      <c r="X93" s="33">
        <f t="shared" si="102"/>
        <v>0</v>
      </c>
      <c r="Y93" s="33">
        <f t="shared" si="102"/>
        <v>0</v>
      </c>
      <c r="Z93" s="33">
        <f t="shared" si="102"/>
        <v>0</v>
      </c>
      <c r="AA93" s="31"/>
      <c r="AB93" s="31"/>
    </row>
    <row r="94" spans="1:28" ht="13.2" x14ac:dyDescent="0.25">
      <c r="A94" s="27"/>
      <c r="B94" s="28"/>
      <c r="C94" s="27"/>
      <c r="D94" s="29"/>
      <c r="E94" s="27">
        <f t="shared" si="32"/>
        <v>0</v>
      </c>
      <c r="F94" s="30">
        <f t="shared" si="4"/>
        <v>0</v>
      </c>
      <c r="G94" s="31"/>
      <c r="H94" s="32">
        <f t="shared" si="5"/>
        <v>0</v>
      </c>
      <c r="I94" s="33">
        <f t="shared" si="19"/>
        <v>0</v>
      </c>
      <c r="J94" s="33">
        <f t="shared" ref="J94:Z94" si="103">I94</f>
        <v>0</v>
      </c>
      <c r="K94" s="33">
        <f t="shared" si="103"/>
        <v>0</v>
      </c>
      <c r="L94" s="33">
        <f t="shared" si="103"/>
        <v>0</v>
      </c>
      <c r="M94" s="33">
        <f t="shared" si="103"/>
        <v>0</v>
      </c>
      <c r="N94" s="33">
        <f t="shared" si="103"/>
        <v>0</v>
      </c>
      <c r="O94" s="33">
        <f t="shared" si="103"/>
        <v>0</v>
      </c>
      <c r="P94" s="33">
        <f t="shared" si="103"/>
        <v>0</v>
      </c>
      <c r="Q94" s="33">
        <f t="shared" si="103"/>
        <v>0</v>
      </c>
      <c r="R94" s="33">
        <f t="shared" si="103"/>
        <v>0</v>
      </c>
      <c r="S94" s="33">
        <f t="shared" si="103"/>
        <v>0</v>
      </c>
      <c r="T94" s="33">
        <f t="shared" si="103"/>
        <v>0</v>
      </c>
      <c r="U94" s="33">
        <f t="shared" si="103"/>
        <v>0</v>
      </c>
      <c r="V94" s="33">
        <f t="shared" si="103"/>
        <v>0</v>
      </c>
      <c r="W94" s="33">
        <f t="shared" si="103"/>
        <v>0</v>
      </c>
      <c r="X94" s="33">
        <f t="shared" si="103"/>
        <v>0</v>
      </c>
      <c r="Y94" s="33">
        <f t="shared" si="103"/>
        <v>0</v>
      </c>
      <c r="Z94" s="33">
        <f t="shared" si="103"/>
        <v>0</v>
      </c>
      <c r="AA94" s="31"/>
      <c r="AB94" s="31"/>
    </row>
    <row r="95" spans="1:28" ht="13.2" x14ac:dyDescent="0.25">
      <c r="A95" s="27"/>
      <c r="B95" s="28"/>
      <c r="C95" s="27"/>
      <c r="D95" s="29"/>
      <c r="E95" s="27">
        <f t="shared" si="32"/>
        <v>0</v>
      </c>
      <c r="F95" s="30">
        <f t="shared" si="4"/>
        <v>0</v>
      </c>
      <c r="G95" s="31"/>
      <c r="H95" s="32">
        <f t="shared" si="5"/>
        <v>0</v>
      </c>
      <c r="I95" s="33">
        <f t="shared" si="19"/>
        <v>0</v>
      </c>
      <c r="J95" s="33">
        <f t="shared" ref="J95:Z95" si="104">I95</f>
        <v>0</v>
      </c>
      <c r="K95" s="33">
        <f t="shared" si="104"/>
        <v>0</v>
      </c>
      <c r="L95" s="33">
        <f t="shared" si="104"/>
        <v>0</v>
      </c>
      <c r="M95" s="33">
        <f t="shared" si="104"/>
        <v>0</v>
      </c>
      <c r="N95" s="33">
        <f t="shared" si="104"/>
        <v>0</v>
      </c>
      <c r="O95" s="33">
        <f t="shared" si="104"/>
        <v>0</v>
      </c>
      <c r="P95" s="33">
        <f t="shared" si="104"/>
        <v>0</v>
      </c>
      <c r="Q95" s="33">
        <f t="shared" si="104"/>
        <v>0</v>
      </c>
      <c r="R95" s="33">
        <f t="shared" si="104"/>
        <v>0</v>
      </c>
      <c r="S95" s="33">
        <f t="shared" si="104"/>
        <v>0</v>
      </c>
      <c r="T95" s="33">
        <f t="shared" si="104"/>
        <v>0</v>
      </c>
      <c r="U95" s="33">
        <f t="shared" si="104"/>
        <v>0</v>
      </c>
      <c r="V95" s="33">
        <f t="shared" si="104"/>
        <v>0</v>
      </c>
      <c r="W95" s="33">
        <f t="shared" si="104"/>
        <v>0</v>
      </c>
      <c r="X95" s="33">
        <f t="shared" si="104"/>
        <v>0</v>
      </c>
      <c r="Y95" s="33">
        <f t="shared" si="104"/>
        <v>0</v>
      </c>
      <c r="Z95" s="33">
        <f t="shared" si="104"/>
        <v>0</v>
      </c>
      <c r="AA95" s="31"/>
      <c r="AB95" s="31"/>
    </row>
    <row r="96" spans="1:28" ht="13.2" x14ac:dyDescent="0.25">
      <c r="A96" s="27"/>
      <c r="B96" s="28"/>
      <c r="C96" s="27"/>
      <c r="D96" s="29"/>
      <c r="E96" s="27">
        <f t="shared" si="32"/>
        <v>0</v>
      </c>
      <c r="F96" s="30">
        <f t="shared" si="4"/>
        <v>0</v>
      </c>
      <c r="G96" s="31"/>
      <c r="H96" s="32">
        <f t="shared" si="5"/>
        <v>0</v>
      </c>
      <c r="I96" s="33">
        <f t="shared" si="19"/>
        <v>0</v>
      </c>
      <c r="J96" s="33">
        <f t="shared" ref="J96:Z96" si="105">I96</f>
        <v>0</v>
      </c>
      <c r="K96" s="33">
        <f t="shared" si="105"/>
        <v>0</v>
      </c>
      <c r="L96" s="33">
        <f t="shared" si="105"/>
        <v>0</v>
      </c>
      <c r="M96" s="33">
        <f t="shared" si="105"/>
        <v>0</v>
      </c>
      <c r="N96" s="33">
        <f t="shared" si="105"/>
        <v>0</v>
      </c>
      <c r="O96" s="33">
        <f t="shared" si="105"/>
        <v>0</v>
      </c>
      <c r="P96" s="33">
        <f t="shared" si="105"/>
        <v>0</v>
      </c>
      <c r="Q96" s="33">
        <f t="shared" si="105"/>
        <v>0</v>
      </c>
      <c r="R96" s="33">
        <f t="shared" si="105"/>
        <v>0</v>
      </c>
      <c r="S96" s="33">
        <f t="shared" si="105"/>
        <v>0</v>
      </c>
      <c r="T96" s="33">
        <f t="shared" si="105"/>
        <v>0</v>
      </c>
      <c r="U96" s="33">
        <f t="shared" si="105"/>
        <v>0</v>
      </c>
      <c r="V96" s="33">
        <f t="shared" si="105"/>
        <v>0</v>
      </c>
      <c r="W96" s="33">
        <f t="shared" si="105"/>
        <v>0</v>
      </c>
      <c r="X96" s="33">
        <f t="shared" si="105"/>
        <v>0</v>
      </c>
      <c r="Y96" s="33">
        <f t="shared" si="105"/>
        <v>0</v>
      </c>
      <c r="Z96" s="33">
        <f t="shared" si="105"/>
        <v>0</v>
      </c>
      <c r="AA96" s="31"/>
      <c r="AB96" s="31"/>
    </row>
    <row r="97" spans="1:28" ht="13.2" x14ac:dyDescent="0.25">
      <c r="A97" s="27"/>
      <c r="B97" s="28"/>
      <c r="C97" s="27"/>
      <c r="D97" s="29"/>
      <c r="E97" s="27">
        <f t="shared" si="32"/>
        <v>0</v>
      </c>
      <c r="F97" s="30">
        <f t="shared" si="4"/>
        <v>0</v>
      </c>
      <c r="G97" s="31"/>
      <c r="H97" s="32">
        <f t="shared" si="5"/>
        <v>0</v>
      </c>
      <c r="I97" s="33">
        <f t="shared" si="19"/>
        <v>0</v>
      </c>
      <c r="J97" s="33">
        <f t="shared" ref="J97:Z97" si="106">I97</f>
        <v>0</v>
      </c>
      <c r="K97" s="33">
        <f t="shared" si="106"/>
        <v>0</v>
      </c>
      <c r="L97" s="33">
        <f t="shared" si="106"/>
        <v>0</v>
      </c>
      <c r="M97" s="33">
        <f t="shared" si="106"/>
        <v>0</v>
      </c>
      <c r="N97" s="33">
        <f t="shared" si="106"/>
        <v>0</v>
      </c>
      <c r="O97" s="33">
        <f t="shared" si="106"/>
        <v>0</v>
      </c>
      <c r="P97" s="33">
        <f t="shared" si="106"/>
        <v>0</v>
      </c>
      <c r="Q97" s="33">
        <f t="shared" si="106"/>
        <v>0</v>
      </c>
      <c r="R97" s="33">
        <f t="shared" si="106"/>
        <v>0</v>
      </c>
      <c r="S97" s="33">
        <f t="shared" si="106"/>
        <v>0</v>
      </c>
      <c r="T97" s="33">
        <f t="shared" si="106"/>
        <v>0</v>
      </c>
      <c r="U97" s="33">
        <f t="shared" si="106"/>
        <v>0</v>
      </c>
      <c r="V97" s="33">
        <f t="shared" si="106"/>
        <v>0</v>
      </c>
      <c r="W97" s="33">
        <f t="shared" si="106"/>
        <v>0</v>
      </c>
      <c r="X97" s="33">
        <f t="shared" si="106"/>
        <v>0</v>
      </c>
      <c r="Y97" s="33">
        <f t="shared" si="106"/>
        <v>0</v>
      </c>
      <c r="Z97" s="33">
        <f t="shared" si="106"/>
        <v>0</v>
      </c>
      <c r="AA97" s="31"/>
      <c r="AB97" s="31"/>
    </row>
    <row r="98" spans="1:28" ht="13.2" x14ac:dyDescent="0.25">
      <c r="A98" s="27"/>
      <c r="B98" s="28"/>
      <c r="C98" s="27"/>
      <c r="D98" s="29"/>
      <c r="E98" s="27">
        <f t="shared" si="32"/>
        <v>0</v>
      </c>
      <c r="F98" s="30">
        <f t="shared" si="4"/>
        <v>0</v>
      </c>
      <c r="G98" s="31"/>
      <c r="H98" s="32">
        <f t="shared" si="5"/>
        <v>0</v>
      </c>
      <c r="I98" s="33">
        <f t="shared" si="19"/>
        <v>0</v>
      </c>
      <c r="J98" s="33">
        <f t="shared" ref="J98:Z98" si="107">I98</f>
        <v>0</v>
      </c>
      <c r="K98" s="33">
        <f t="shared" si="107"/>
        <v>0</v>
      </c>
      <c r="L98" s="33">
        <f t="shared" si="107"/>
        <v>0</v>
      </c>
      <c r="M98" s="33">
        <f t="shared" si="107"/>
        <v>0</v>
      </c>
      <c r="N98" s="33">
        <f t="shared" si="107"/>
        <v>0</v>
      </c>
      <c r="O98" s="33">
        <f t="shared" si="107"/>
        <v>0</v>
      </c>
      <c r="P98" s="33">
        <f t="shared" si="107"/>
        <v>0</v>
      </c>
      <c r="Q98" s="33">
        <f t="shared" si="107"/>
        <v>0</v>
      </c>
      <c r="R98" s="33">
        <f t="shared" si="107"/>
        <v>0</v>
      </c>
      <c r="S98" s="33">
        <f t="shared" si="107"/>
        <v>0</v>
      </c>
      <c r="T98" s="33">
        <f t="shared" si="107"/>
        <v>0</v>
      </c>
      <c r="U98" s="33">
        <f t="shared" si="107"/>
        <v>0</v>
      </c>
      <c r="V98" s="33">
        <f t="shared" si="107"/>
        <v>0</v>
      </c>
      <c r="W98" s="33">
        <f t="shared" si="107"/>
        <v>0</v>
      </c>
      <c r="X98" s="33">
        <f t="shared" si="107"/>
        <v>0</v>
      </c>
      <c r="Y98" s="33">
        <f t="shared" si="107"/>
        <v>0</v>
      </c>
      <c r="Z98" s="33">
        <f t="shared" si="107"/>
        <v>0</v>
      </c>
      <c r="AA98" s="31"/>
      <c r="AB98" s="31"/>
    </row>
    <row r="99" spans="1:28" ht="13.2" x14ac:dyDescent="0.25">
      <c r="A99" s="27"/>
      <c r="B99" s="28"/>
      <c r="C99" s="27"/>
      <c r="D99" s="29"/>
      <c r="E99" s="27">
        <f t="shared" si="32"/>
        <v>0</v>
      </c>
      <c r="F99" s="30">
        <f t="shared" si="4"/>
        <v>0</v>
      </c>
      <c r="G99" s="31"/>
      <c r="H99" s="32">
        <f t="shared" si="5"/>
        <v>0</v>
      </c>
      <c r="I99" s="33">
        <f t="shared" si="19"/>
        <v>0</v>
      </c>
      <c r="J99" s="33">
        <f t="shared" ref="J99:Z99" si="108">I99</f>
        <v>0</v>
      </c>
      <c r="K99" s="33">
        <f t="shared" si="108"/>
        <v>0</v>
      </c>
      <c r="L99" s="33">
        <f t="shared" si="108"/>
        <v>0</v>
      </c>
      <c r="M99" s="33">
        <f t="shared" si="108"/>
        <v>0</v>
      </c>
      <c r="N99" s="33">
        <f t="shared" si="108"/>
        <v>0</v>
      </c>
      <c r="O99" s="33">
        <f t="shared" si="108"/>
        <v>0</v>
      </c>
      <c r="P99" s="33">
        <f t="shared" si="108"/>
        <v>0</v>
      </c>
      <c r="Q99" s="33">
        <f t="shared" si="108"/>
        <v>0</v>
      </c>
      <c r="R99" s="33">
        <f t="shared" si="108"/>
        <v>0</v>
      </c>
      <c r="S99" s="33">
        <f t="shared" si="108"/>
        <v>0</v>
      </c>
      <c r="T99" s="33">
        <f t="shared" si="108"/>
        <v>0</v>
      </c>
      <c r="U99" s="33">
        <f t="shared" si="108"/>
        <v>0</v>
      </c>
      <c r="V99" s="33">
        <f t="shared" si="108"/>
        <v>0</v>
      </c>
      <c r="W99" s="33">
        <f t="shared" si="108"/>
        <v>0</v>
      </c>
      <c r="X99" s="33">
        <f t="shared" si="108"/>
        <v>0</v>
      </c>
      <c r="Y99" s="33">
        <f t="shared" si="108"/>
        <v>0</v>
      </c>
      <c r="Z99" s="33">
        <f t="shared" si="108"/>
        <v>0</v>
      </c>
      <c r="AA99" s="31"/>
      <c r="AB99" s="31"/>
    </row>
    <row r="100" spans="1:28" ht="13.2" x14ac:dyDescent="0.25">
      <c r="A100" s="27"/>
      <c r="B100" s="28"/>
      <c r="C100" s="27"/>
      <c r="D100" s="29"/>
      <c r="E100" s="27">
        <f t="shared" si="32"/>
        <v>0</v>
      </c>
      <c r="F100" s="30">
        <f t="shared" si="4"/>
        <v>0</v>
      </c>
      <c r="G100" s="31"/>
      <c r="H100" s="32">
        <f t="shared" si="5"/>
        <v>0</v>
      </c>
      <c r="I100" s="33">
        <f t="shared" si="19"/>
        <v>0</v>
      </c>
      <c r="J100" s="33">
        <f t="shared" ref="J100:Z100" si="109">I100</f>
        <v>0</v>
      </c>
      <c r="K100" s="33">
        <f t="shared" si="109"/>
        <v>0</v>
      </c>
      <c r="L100" s="33">
        <f t="shared" si="109"/>
        <v>0</v>
      </c>
      <c r="M100" s="33">
        <f t="shared" si="109"/>
        <v>0</v>
      </c>
      <c r="N100" s="33">
        <f t="shared" si="109"/>
        <v>0</v>
      </c>
      <c r="O100" s="33">
        <f t="shared" si="109"/>
        <v>0</v>
      </c>
      <c r="P100" s="33">
        <f t="shared" si="109"/>
        <v>0</v>
      </c>
      <c r="Q100" s="33">
        <f t="shared" si="109"/>
        <v>0</v>
      </c>
      <c r="R100" s="33">
        <f t="shared" si="109"/>
        <v>0</v>
      </c>
      <c r="S100" s="33">
        <f t="shared" si="109"/>
        <v>0</v>
      </c>
      <c r="T100" s="33">
        <f t="shared" si="109"/>
        <v>0</v>
      </c>
      <c r="U100" s="33">
        <f t="shared" si="109"/>
        <v>0</v>
      </c>
      <c r="V100" s="33">
        <f t="shared" si="109"/>
        <v>0</v>
      </c>
      <c r="W100" s="33">
        <f t="shared" si="109"/>
        <v>0</v>
      </c>
      <c r="X100" s="33">
        <f t="shared" si="109"/>
        <v>0</v>
      </c>
      <c r="Y100" s="33">
        <f t="shared" si="109"/>
        <v>0</v>
      </c>
      <c r="Z100" s="33">
        <f t="shared" si="109"/>
        <v>0</v>
      </c>
      <c r="AA100" s="31"/>
      <c r="AB100" s="31"/>
    </row>
    <row r="101" spans="1:28" ht="13.2" x14ac:dyDescent="0.25">
      <c r="A101" s="20" t="s">
        <v>25</v>
      </c>
      <c r="B101" s="21"/>
      <c r="C101" s="20"/>
      <c r="D101" s="23"/>
      <c r="E101" s="23"/>
      <c r="F101" s="23"/>
      <c r="G101" s="23"/>
      <c r="H101" s="23"/>
      <c r="I101" s="39" t="s">
        <v>26</v>
      </c>
      <c r="J101" s="24"/>
      <c r="K101" s="25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3.2" x14ac:dyDescent="0.25">
      <c r="A102" s="40"/>
      <c r="B102" s="41" t="s">
        <v>98</v>
      </c>
      <c r="C102" s="27" t="s">
        <v>15</v>
      </c>
      <c r="D102" s="42"/>
      <c r="E102" s="42" t="s">
        <v>27</v>
      </c>
      <c r="F102" s="43">
        <v>44568</v>
      </c>
      <c r="I102" s="44" t="s">
        <v>28</v>
      </c>
      <c r="J102" s="45">
        <v>0</v>
      </c>
      <c r="K102" s="46">
        <f>IF(J102, IF(J103,1,IF(J104,2,IF(J105,3,IF(J106,4,IF(J107,5,IF(J108,6)))))), 0)</f>
        <v>0</v>
      </c>
    </row>
    <row r="103" spans="1:28" ht="13.2" x14ac:dyDescent="0.25">
      <c r="A103" s="40"/>
      <c r="B103" s="41" t="s">
        <v>97</v>
      </c>
      <c r="C103" s="27" t="s">
        <v>99</v>
      </c>
      <c r="D103" s="42"/>
      <c r="E103" s="42" t="s">
        <v>29</v>
      </c>
      <c r="F103" s="43">
        <v>44582</v>
      </c>
      <c r="I103" s="44" t="s">
        <v>30</v>
      </c>
      <c r="J103" s="45">
        <v>1</v>
      </c>
      <c r="K103" s="46">
        <f>IF(J103, IF(J104,1,IF(J105,2,IF(J106,3,IF(J107,4,IF(J108,5,IF(J102,6)))))), 0)</f>
        <v>1</v>
      </c>
    </row>
    <row r="104" spans="1:28" ht="13.2" x14ac:dyDescent="0.25">
      <c r="A104" s="40"/>
      <c r="B104" s="41" t="s">
        <v>96</v>
      </c>
      <c r="C104" s="27" t="s">
        <v>100</v>
      </c>
      <c r="I104" s="44" t="s">
        <v>31</v>
      </c>
      <c r="J104" s="45">
        <v>1</v>
      </c>
      <c r="K104" s="46">
        <f>IF(J104, IF(J105,1,IF(J106,2,IF(J107,3,IF(J108,4,IF(J102,5,IF(J103,6)))))), 0)</f>
        <v>1</v>
      </c>
    </row>
    <row r="105" spans="1:28" ht="15.6" x14ac:dyDescent="0.45">
      <c r="A105" s="40"/>
      <c r="B105" s="41"/>
      <c r="C105" s="27"/>
      <c r="D105" s="47"/>
      <c r="E105" s="47" t="s">
        <v>32</v>
      </c>
      <c r="F105" s="48">
        <f>F103-F102</f>
        <v>14</v>
      </c>
      <c r="I105" s="44" t="s">
        <v>33</v>
      </c>
      <c r="J105" s="45">
        <v>1</v>
      </c>
      <c r="K105" s="46">
        <f>IF(J105, IF(J106,1,IF(J107,2,IF(J108,3,IF(J102,4,IF(J103,5,IF(J104,6)))))), 0)</f>
        <v>1</v>
      </c>
    </row>
    <row r="106" spans="1:28" ht="13.2" x14ac:dyDescent="0.25">
      <c r="A106" s="40"/>
      <c r="B106" s="41"/>
      <c r="C106" s="27"/>
      <c r="D106" s="47"/>
      <c r="E106" s="47" t="s">
        <v>34</v>
      </c>
      <c r="F106" s="49">
        <f>COUNTIF(J1:Z1,"&gt;0")</f>
        <v>10</v>
      </c>
      <c r="I106" s="44" t="s">
        <v>35</v>
      </c>
      <c r="J106" s="45">
        <v>1</v>
      </c>
      <c r="K106" s="46">
        <f>IF(J106, IF(J107,1,IF(J108,2,IF(J102,3,IF(J103,4,IF(J104,5,IF(J105,6)))))), 0)</f>
        <v>1</v>
      </c>
    </row>
    <row r="107" spans="1:28" ht="13.2" x14ac:dyDescent="0.25">
      <c r="A107" s="40"/>
      <c r="B107" s="50"/>
      <c r="C107" s="51"/>
      <c r="H107" s="40"/>
      <c r="I107" s="44" t="s">
        <v>36</v>
      </c>
      <c r="J107" s="45">
        <v>1</v>
      </c>
      <c r="K107" s="46">
        <f>IF(J107, IF(J108,1,IF(J102,2,IF(J103,3,IF(J104,4,IF(J105,5,IF(J106,6)))))), 0)</f>
        <v>3</v>
      </c>
    </row>
    <row r="108" spans="1:28" ht="13.2" x14ac:dyDescent="0.25">
      <c r="A108" s="40"/>
      <c r="B108" s="52" t="s">
        <v>37</v>
      </c>
      <c r="C108" s="32" t="s">
        <v>38</v>
      </c>
      <c r="I108" s="44" t="s">
        <v>39</v>
      </c>
      <c r="J108" s="45">
        <v>0</v>
      </c>
      <c r="K108" s="46">
        <f>IF(J108, IF(J102,1,IF(J103,2,IF(J104,3,IF(J105,4,IF(J106,5,IF(J107,6)))))), 0)</f>
        <v>0</v>
      </c>
    </row>
    <row r="109" spans="1:28" ht="13.2" x14ac:dyDescent="0.25">
      <c r="A109" s="40"/>
      <c r="B109" s="44" t="s">
        <v>40</v>
      </c>
      <c r="C109" s="40"/>
    </row>
    <row r="110" spans="1:28" ht="13.2" x14ac:dyDescent="0.25">
      <c r="A110" s="40"/>
      <c r="B110" s="53" t="s">
        <v>41</v>
      </c>
      <c r="C110" s="54">
        <v>3</v>
      </c>
    </row>
    <row r="111" spans="1:28" ht="13.2" x14ac:dyDescent="0.25">
      <c r="A111" s="20" t="s">
        <v>42</v>
      </c>
      <c r="B111" s="21"/>
      <c r="C111" s="20"/>
      <c r="D111" s="22"/>
      <c r="E111" s="23"/>
      <c r="F111" s="24"/>
      <c r="G111" s="25"/>
      <c r="H111" s="23"/>
      <c r="I111" s="23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13.2" x14ac:dyDescent="0.25">
      <c r="A112" s="31"/>
      <c r="B112" s="52" t="s">
        <v>43</v>
      </c>
      <c r="C112" s="31"/>
      <c r="D112" s="55"/>
      <c r="E112" s="31"/>
      <c r="F112" s="52"/>
      <c r="G112" s="56" t="s">
        <v>44</v>
      </c>
      <c r="H112" s="31">
        <f t="shared" ref="H112:I112" si="110">$F$106</f>
        <v>10</v>
      </c>
      <c r="I112" s="57">
        <f t="shared" si="110"/>
        <v>10</v>
      </c>
      <c r="J112" s="57">
        <f t="shared" ref="J112:Z112" si="111">MAX(0,I112-1)</f>
        <v>9</v>
      </c>
      <c r="K112" s="57">
        <f t="shared" si="111"/>
        <v>8</v>
      </c>
      <c r="L112" s="57">
        <f t="shared" si="111"/>
        <v>7</v>
      </c>
      <c r="M112" s="57">
        <f t="shared" si="111"/>
        <v>6</v>
      </c>
      <c r="N112" s="57">
        <f t="shared" si="111"/>
        <v>5</v>
      </c>
      <c r="O112" s="57">
        <f t="shared" si="111"/>
        <v>4</v>
      </c>
      <c r="P112" s="57">
        <f t="shared" si="111"/>
        <v>3</v>
      </c>
      <c r="Q112" s="57">
        <f t="shared" si="111"/>
        <v>2</v>
      </c>
      <c r="R112" s="57">
        <f t="shared" si="111"/>
        <v>1</v>
      </c>
      <c r="S112" s="57">
        <f t="shared" si="111"/>
        <v>0</v>
      </c>
      <c r="T112" s="57">
        <f t="shared" si="111"/>
        <v>0</v>
      </c>
      <c r="U112" s="57">
        <f t="shared" si="111"/>
        <v>0</v>
      </c>
      <c r="V112" s="57">
        <f t="shared" si="111"/>
        <v>0</v>
      </c>
      <c r="W112" s="57">
        <f t="shared" si="111"/>
        <v>0</v>
      </c>
      <c r="X112" s="57">
        <f t="shared" si="111"/>
        <v>0</v>
      </c>
      <c r="Y112" s="57">
        <f t="shared" si="111"/>
        <v>0</v>
      </c>
      <c r="Z112" s="57">
        <f t="shared" si="111"/>
        <v>0</v>
      </c>
      <c r="AA112" s="31"/>
      <c r="AB112" s="31"/>
    </row>
    <row r="113" spans="1:28" ht="13.2" x14ac:dyDescent="0.25">
      <c r="A113" s="31"/>
      <c r="B113" s="52"/>
      <c r="C113" s="31"/>
      <c r="D113" s="55"/>
      <c r="E113" s="31"/>
      <c r="F113" s="52"/>
      <c r="G113" s="56" t="s">
        <v>45</v>
      </c>
      <c r="H113" s="31">
        <f>E$1</f>
        <v>39</v>
      </c>
      <c r="I113" s="57">
        <f t="shared" ref="I113:Z113" si="112">I112/$H$112*$H$113</f>
        <v>39</v>
      </c>
      <c r="J113" s="57">
        <f t="shared" si="112"/>
        <v>35.1</v>
      </c>
      <c r="K113" s="57">
        <f t="shared" si="112"/>
        <v>31.200000000000003</v>
      </c>
      <c r="L113" s="57">
        <f t="shared" si="112"/>
        <v>27.299999999999997</v>
      </c>
      <c r="M113" s="57">
        <f t="shared" si="112"/>
        <v>23.4</v>
      </c>
      <c r="N113" s="57">
        <f t="shared" si="112"/>
        <v>19.5</v>
      </c>
      <c r="O113" s="57">
        <f t="shared" si="112"/>
        <v>15.600000000000001</v>
      </c>
      <c r="P113" s="57">
        <f t="shared" si="112"/>
        <v>11.7</v>
      </c>
      <c r="Q113" s="57">
        <f t="shared" si="112"/>
        <v>7.8000000000000007</v>
      </c>
      <c r="R113" s="57">
        <f t="shared" si="112"/>
        <v>3.9000000000000004</v>
      </c>
      <c r="S113" s="57">
        <f t="shared" si="112"/>
        <v>0</v>
      </c>
      <c r="T113" s="57">
        <f t="shared" si="112"/>
        <v>0</v>
      </c>
      <c r="U113" s="57">
        <f t="shared" si="112"/>
        <v>0</v>
      </c>
      <c r="V113" s="57">
        <f t="shared" si="112"/>
        <v>0</v>
      </c>
      <c r="W113" s="57">
        <f t="shared" si="112"/>
        <v>0</v>
      </c>
      <c r="X113" s="57">
        <f t="shared" si="112"/>
        <v>0</v>
      </c>
      <c r="Y113" s="57">
        <f t="shared" si="112"/>
        <v>0</v>
      </c>
      <c r="Z113" s="57">
        <f t="shared" si="112"/>
        <v>0</v>
      </c>
      <c r="AA113" s="31"/>
      <c r="AB113" s="31"/>
    </row>
    <row r="114" spans="1:28" ht="13.2" x14ac:dyDescent="0.25">
      <c r="A114" s="31"/>
      <c r="B114" s="52"/>
      <c r="C114" s="58"/>
      <c r="D114" s="55"/>
      <c r="E114" s="32"/>
      <c r="F114" s="52"/>
      <c r="G114" s="56"/>
      <c r="H114" s="32"/>
      <c r="I114" s="59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31"/>
      <c r="AB114" s="31"/>
    </row>
    <row r="115" spans="1:28" ht="13.2" x14ac:dyDescent="0.25">
      <c r="A115" s="31"/>
      <c r="B115" s="52"/>
      <c r="C115" s="31"/>
      <c r="D115" s="55"/>
      <c r="E115" s="31"/>
      <c r="F115" s="52"/>
      <c r="G115" s="56" t="s">
        <v>46</v>
      </c>
      <c r="H115" s="31">
        <f>SUMIF($A$5:$A$100,"&gt;0",$I$5:$I$100)</f>
        <v>35</v>
      </c>
      <c r="I115" s="57">
        <f t="shared" ref="I115:Z115" si="113">IF(I$3&gt;$A$2, 0, SUMIF($A$5:$A$100,"&gt;0",$I$5:$I$100))</f>
        <v>35</v>
      </c>
      <c r="J115" s="57">
        <f t="shared" si="113"/>
        <v>35</v>
      </c>
      <c r="K115" s="57">
        <f t="shared" si="113"/>
        <v>35</v>
      </c>
      <c r="L115" s="57">
        <f t="shared" si="113"/>
        <v>35</v>
      </c>
      <c r="M115" s="57">
        <f t="shared" si="113"/>
        <v>35</v>
      </c>
      <c r="N115" s="57">
        <f t="shared" si="113"/>
        <v>35</v>
      </c>
      <c r="O115" s="57">
        <f t="shared" si="113"/>
        <v>35</v>
      </c>
      <c r="P115" s="57">
        <f t="shared" si="113"/>
        <v>35</v>
      </c>
      <c r="Q115" s="57">
        <f t="shared" si="113"/>
        <v>35</v>
      </c>
      <c r="R115" s="57">
        <f t="shared" si="113"/>
        <v>35</v>
      </c>
      <c r="S115" s="57">
        <f t="shared" si="113"/>
        <v>35</v>
      </c>
      <c r="T115" s="57">
        <f t="shared" si="113"/>
        <v>35</v>
      </c>
      <c r="U115" s="57">
        <f t="shared" si="113"/>
        <v>35</v>
      </c>
      <c r="V115" s="57">
        <f t="shared" si="113"/>
        <v>35</v>
      </c>
      <c r="W115" s="57">
        <f t="shared" si="113"/>
        <v>35</v>
      </c>
      <c r="X115" s="57">
        <f t="shared" si="113"/>
        <v>35</v>
      </c>
      <c r="Y115" s="57">
        <f t="shared" si="113"/>
        <v>35</v>
      </c>
      <c r="Z115" s="57">
        <f t="shared" si="113"/>
        <v>35</v>
      </c>
      <c r="AA115" s="31"/>
      <c r="AB115" s="31"/>
    </row>
    <row r="116" spans="1:28" ht="13.2" x14ac:dyDescent="0.25">
      <c r="A116" s="31"/>
      <c r="B116" s="52" t="s">
        <v>47</v>
      </c>
      <c r="C116" s="31"/>
      <c r="D116" s="55"/>
      <c r="E116" s="31"/>
      <c r="F116" s="31"/>
      <c r="G116" s="56"/>
      <c r="H116" s="31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31"/>
      <c r="AB116" s="31"/>
    </row>
    <row r="117" spans="1:28" ht="13.2" x14ac:dyDescent="0.25">
      <c r="A117" s="31"/>
      <c r="B117" s="61" t="s">
        <v>48</v>
      </c>
      <c r="C117" s="31">
        <v>1</v>
      </c>
      <c r="D117" s="55"/>
      <c r="E117" s="31"/>
      <c r="F117" s="31"/>
      <c r="G117" s="56" t="s">
        <v>49</v>
      </c>
      <c r="H117" s="31">
        <f t="shared" ref="H117:Z117" si="114">SUMIF($A$5:$A$100,$C117,H$5:H$100)</f>
        <v>25</v>
      </c>
      <c r="I117" s="31">
        <f t="shared" si="114"/>
        <v>21</v>
      </c>
      <c r="J117" s="31">
        <f t="shared" si="114"/>
        <v>21</v>
      </c>
      <c r="K117" s="31">
        <f t="shared" si="114"/>
        <v>15</v>
      </c>
      <c r="L117" s="31">
        <f t="shared" si="114"/>
        <v>12</v>
      </c>
      <c r="M117" s="31">
        <f t="shared" si="114"/>
        <v>11</v>
      </c>
      <c r="N117" s="31">
        <f t="shared" si="114"/>
        <v>11</v>
      </c>
      <c r="O117" s="31">
        <f t="shared" si="114"/>
        <v>11</v>
      </c>
      <c r="P117" s="31">
        <f t="shared" si="114"/>
        <v>11</v>
      </c>
      <c r="Q117" s="31">
        <f t="shared" si="114"/>
        <v>11</v>
      </c>
      <c r="R117" s="31">
        <f t="shared" si="114"/>
        <v>11</v>
      </c>
      <c r="S117" s="31">
        <f t="shared" si="114"/>
        <v>11</v>
      </c>
      <c r="T117" s="31">
        <f t="shared" si="114"/>
        <v>11</v>
      </c>
      <c r="U117" s="31">
        <f t="shared" si="114"/>
        <v>11</v>
      </c>
      <c r="V117" s="31">
        <f t="shared" si="114"/>
        <v>11</v>
      </c>
      <c r="W117" s="31">
        <f t="shared" si="114"/>
        <v>11</v>
      </c>
      <c r="X117" s="31">
        <f t="shared" si="114"/>
        <v>11</v>
      </c>
      <c r="Y117" s="31">
        <f t="shared" si="114"/>
        <v>11</v>
      </c>
      <c r="Z117" s="31">
        <f t="shared" si="114"/>
        <v>11</v>
      </c>
      <c r="AA117" s="31"/>
      <c r="AB117" s="31"/>
    </row>
    <row r="118" spans="1:28" ht="13.2" x14ac:dyDescent="0.25">
      <c r="A118" s="31"/>
      <c r="B118" s="61"/>
      <c r="C118" s="31">
        <v>2</v>
      </c>
      <c r="D118" s="55"/>
      <c r="E118" s="31"/>
      <c r="F118" s="31"/>
      <c r="G118" s="56" t="s">
        <v>50</v>
      </c>
      <c r="H118" s="31">
        <f t="shared" ref="H118:Z118" si="115">SUMIF($A$5:$A$100,$C118,H$5:H$100)</f>
        <v>5</v>
      </c>
      <c r="I118" s="31">
        <f t="shared" si="115"/>
        <v>5</v>
      </c>
      <c r="J118" s="31">
        <f t="shared" si="115"/>
        <v>5</v>
      </c>
      <c r="K118" s="31">
        <f t="shared" si="115"/>
        <v>4</v>
      </c>
      <c r="L118" s="31">
        <f t="shared" si="115"/>
        <v>4</v>
      </c>
      <c r="M118" s="31">
        <f t="shared" si="115"/>
        <v>3</v>
      </c>
      <c r="N118" s="31">
        <f t="shared" si="115"/>
        <v>3</v>
      </c>
      <c r="O118" s="31">
        <f t="shared" si="115"/>
        <v>3</v>
      </c>
      <c r="P118" s="31">
        <f t="shared" si="115"/>
        <v>3</v>
      </c>
      <c r="Q118" s="31">
        <f t="shared" si="115"/>
        <v>3</v>
      </c>
      <c r="R118" s="31">
        <f t="shared" si="115"/>
        <v>3</v>
      </c>
      <c r="S118" s="31">
        <f t="shared" si="115"/>
        <v>3</v>
      </c>
      <c r="T118" s="31">
        <f t="shared" si="115"/>
        <v>3</v>
      </c>
      <c r="U118" s="31">
        <f t="shared" si="115"/>
        <v>3</v>
      </c>
      <c r="V118" s="31">
        <f t="shared" si="115"/>
        <v>3</v>
      </c>
      <c r="W118" s="31">
        <f t="shared" si="115"/>
        <v>3</v>
      </c>
      <c r="X118" s="31">
        <f t="shared" si="115"/>
        <v>3</v>
      </c>
      <c r="Y118" s="31">
        <f t="shared" si="115"/>
        <v>3</v>
      </c>
      <c r="Z118" s="31">
        <f t="shared" si="115"/>
        <v>3</v>
      </c>
      <c r="AA118" s="31"/>
      <c r="AB118" s="31"/>
    </row>
    <row r="119" spans="1:28" ht="13.2" x14ac:dyDescent="0.25">
      <c r="A119" s="31"/>
      <c r="B119" s="61"/>
      <c r="C119" s="31">
        <v>3</v>
      </c>
      <c r="D119" s="55"/>
      <c r="E119" s="31"/>
      <c r="F119" s="31"/>
      <c r="G119" s="56" t="s">
        <v>51</v>
      </c>
      <c r="H119" s="31">
        <f t="shared" ref="H119:Z119" si="116">SUMIF($A$5:$A$100,$C119,H$5:H$100)</f>
        <v>4</v>
      </c>
      <c r="I119" s="31">
        <f t="shared" si="116"/>
        <v>4</v>
      </c>
      <c r="J119" s="31">
        <f t="shared" si="116"/>
        <v>4</v>
      </c>
      <c r="K119" s="31">
        <f t="shared" si="116"/>
        <v>4</v>
      </c>
      <c r="L119" s="31">
        <f t="shared" si="116"/>
        <v>4</v>
      </c>
      <c r="M119" s="31">
        <f t="shared" si="116"/>
        <v>2</v>
      </c>
      <c r="N119" s="31">
        <f t="shared" si="116"/>
        <v>2</v>
      </c>
      <c r="O119" s="31">
        <f t="shared" si="116"/>
        <v>2</v>
      </c>
      <c r="P119" s="31">
        <f t="shared" si="116"/>
        <v>2</v>
      </c>
      <c r="Q119" s="31">
        <f t="shared" si="116"/>
        <v>2</v>
      </c>
      <c r="R119" s="31">
        <f t="shared" si="116"/>
        <v>2</v>
      </c>
      <c r="S119" s="31">
        <f t="shared" si="116"/>
        <v>2</v>
      </c>
      <c r="T119" s="31">
        <f t="shared" si="116"/>
        <v>2</v>
      </c>
      <c r="U119" s="31">
        <f t="shared" si="116"/>
        <v>2</v>
      </c>
      <c r="V119" s="31">
        <f t="shared" si="116"/>
        <v>2</v>
      </c>
      <c r="W119" s="31">
        <f t="shared" si="116"/>
        <v>2</v>
      </c>
      <c r="X119" s="31">
        <f t="shared" si="116"/>
        <v>2</v>
      </c>
      <c r="Y119" s="31">
        <f t="shared" si="116"/>
        <v>2</v>
      </c>
      <c r="Z119" s="31">
        <f t="shared" si="116"/>
        <v>2</v>
      </c>
      <c r="AA119" s="31"/>
      <c r="AB119" s="31"/>
    </row>
    <row r="120" spans="1:28" ht="13.2" x14ac:dyDescent="0.25">
      <c r="A120" s="31"/>
      <c r="B120" s="61"/>
      <c r="C120" s="31">
        <v>4</v>
      </c>
      <c r="D120" s="55"/>
      <c r="E120" s="31"/>
      <c r="F120" s="31"/>
      <c r="G120" s="56" t="s">
        <v>52</v>
      </c>
      <c r="H120" s="31">
        <f t="shared" ref="H120:Z120" si="117">SUMIF($A$5:$A$100,$C120,H$5:H$100)</f>
        <v>5</v>
      </c>
      <c r="I120" s="31">
        <f t="shared" si="117"/>
        <v>5</v>
      </c>
      <c r="J120" s="31">
        <f t="shared" si="117"/>
        <v>3</v>
      </c>
      <c r="K120" s="31">
        <f t="shared" si="117"/>
        <v>3</v>
      </c>
      <c r="L120" s="31">
        <f t="shared" si="117"/>
        <v>3</v>
      </c>
      <c r="M120" s="31">
        <f t="shared" si="117"/>
        <v>3</v>
      </c>
      <c r="N120" s="31">
        <f t="shared" si="117"/>
        <v>3</v>
      </c>
      <c r="O120" s="31">
        <f t="shared" si="117"/>
        <v>3</v>
      </c>
      <c r="P120" s="31">
        <f t="shared" si="117"/>
        <v>3</v>
      </c>
      <c r="Q120" s="31">
        <f t="shared" si="117"/>
        <v>3</v>
      </c>
      <c r="R120" s="31">
        <f t="shared" si="117"/>
        <v>3</v>
      </c>
      <c r="S120" s="31">
        <f t="shared" si="117"/>
        <v>3</v>
      </c>
      <c r="T120" s="31">
        <f t="shared" si="117"/>
        <v>3</v>
      </c>
      <c r="U120" s="31">
        <f t="shared" si="117"/>
        <v>3</v>
      </c>
      <c r="V120" s="31">
        <f t="shared" si="117"/>
        <v>3</v>
      </c>
      <c r="W120" s="31">
        <f t="shared" si="117"/>
        <v>3</v>
      </c>
      <c r="X120" s="31">
        <f t="shared" si="117"/>
        <v>3</v>
      </c>
      <c r="Y120" s="31">
        <f t="shared" si="117"/>
        <v>3</v>
      </c>
      <c r="Z120" s="31">
        <f t="shared" si="117"/>
        <v>3</v>
      </c>
      <c r="AA120" s="31"/>
      <c r="AB120" s="31"/>
    </row>
    <row r="121" spans="1:28" ht="13.2" x14ac:dyDescent="0.25">
      <c r="A121" s="31"/>
      <c r="B121" s="61" t="s">
        <v>53</v>
      </c>
      <c r="C121" s="31">
        <v>5</v>
      </c>
      <c r="D121" s="55"/>
      <c r="E121" s="31"/>
      <c r="F121" s="31"/>
      <c r="G121" s="56" t="s">
        <v>54</v>
      </c>
      <c r="H121" s="31">
        <f t="shared" ref="H121:Z121" si="118">SUMIF($A$5:$A$100,$C121,H$5:H$100)</f>
        <v>0</v>
      </c>
      <c r="I121" s="31">
        <f t="shared" si="118"/>
        <v>0</v>
      </c>
      <c r="J121" s="31">
        <f t="shared" si="118"/>
        <v>0</v>
      </c>
      <c r="K121" s="31">
        <f t="shared" si="118"/>
        <v>0</v>
      </c>
      <c r="L121" s="31">
        <f t="shared" si="118"/>
        <v>0</v>
      </c>
      <c r="M121" s="31">
        <f t="shared" si="118"/>
        <v>0</v>
      </c>
      <c r="N121" s="31">
        <f t="shared" si="118"/>
        <v>0</v>
      </c>
      <c r="O121" s="31">
        <f t="shared" si="118"/>
        <v>0</v>
      </c>
      <c r="P121" s="31">
        <f t="shared" si="118"/>
        <v>0</v>
      </c>
      <c r="Q121" s="31">
        <f t="shared" si="118"/>
        <v>0</v>
      </c>
      <c r="R121" s="31">
        <f t="shared" si="118"/>
        <v>0</v>
      </c>
      <c r="S121" s="31">
        <f t="shared" si="118"/>
        <v>0</v>
      </c>
      <c r="T121" s="31">
        <f t="shared" si="118"/>
        <v>0</v>
      </c>
      <c r="U121" s="31">
        <f t="shared" si="118"/>
        <v>0</v>
      </c>
      <c r="V121" s="31">
        <f t="shared" si="118"/>
        <v>0</v>
      </c>
      <c r="W121" s="31">
        <f t="shared" si="118"/>
        <v>0</v>
      </c>
      <c r="X121" s="31">
        <f t="shared" si="118"/>
        <v>0</v>
      </c>
      <c r="Y121" s="31">
        <f t="shared" si="118"/>
        <v>0</v>
      </c>
      <c r="Z121" s="31">
        <f t="shared" si="118"/>
        <v>0</v>
      </c>
      <c r="AA121" s="31"/>
      <c r="AB121" s="31"/>
    </row>
    <row r="122" spans="1:28" ht="13.2" x14ac:dyDescent="0.25">
      <c r="A122" s="31"/>
      <c r="B122" s="61"/>
      <c r="C122" s="31"/>
      <c r="D122" s="55"/>
      <c r="E122" s="31"/>
      <c r="F122" s="31"/>
      <c r="G122" s="56" t="s">
        <v>46</v>
      </c>
      <c r="H122" s="31">
        <f t="shared" ref="H122:Z122" si="119">SUM(H117:H121)</f>
        <v>39</v>
      </c>
      <c r="I122" s="31">
        <f t="shared" si="119"/>
        <v>35</v>
      </c>
      <c r="J122" s="31">
        <f t="shared" si="119"/>
        <v>33</v>
      </c>
      <c r="K122" s="31">
        <f t="shared" si="119"/>
        <v>26</v>
      </c>
      <c r="L122" s="31">
        <f t="shared" si="119"/>
        <v>23</v>
      </c>
      <c r="M122" s="31">
        <f t="shared" si="119"/>
        <v>19</v>
      </c>
      <c r="N122" s="31">
        <f t="shared" si="119"/>
        <v>19</v>
      </c>
      <c r="O122" s="31">
        <f t="shared" si="119"/>
        <v>19</v>
      </c>
      <c r="P122" s="31">
        <f t="shared" si="119"/>
        <v>19</v>
      </c>
      <c r="Q122" s="31">
        <f t="shared" si="119"/>
        <v>19</v>
      </c>
      <c r="R122" s="31">
        <f t="shared" si="119"/>
        <v>19</v>
      </c>
      <c r="S122" s="31">
        <f t="shared" si="119"/>
        <v>19</v>
      </c>
      <c r="T122" s="31">
        <f t="shared" si="119"/>
        <v>19</v>
      </c>
      <c r="U122" s="31">
        <f t="shared" si="119"/>
        <v>19</v>
      </c>
      <c r="V122" s="31">
        <f t="shared" si="119"/>
        <v>19</v>
      </c>
      <c r="W122" s="31">
        <f t="shared" si="119"/>
        <v>19</v>
      </c>
      <c r="X122" s="31">
        <f t="shared" si="119"/>
        <v>19</v>
      </c>
      <c r="Y122" s="31">
        <f t="shared" si="119"/>
        <v>19</v>
      </c>
      <c r="Z122" s="31">
        <f t="shared" si="119"/>
        <v>19</v>
      </c>
      <c r="AA122" s="31"/>
      <c r="AB122" s="31"/>
    </row>
    <row r="123" spans="1:28" ht="13.2" x14ac:dyDescent="0.25">
      <c r="A123" s="31"/>
      <c r="D123" s="55"/>
      <c r="E123" s="31"/>
      <c r="F123" s="31"/>
      <c r="G123" s="56"/>
      <c r="H123" s="31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31"/>
      <c r="AB123" s="31"/>
    </row>
    <row r="124" spans="1:28" ht="13.2" x14ac:dyDescent="0.25">
      <c r="A124" s="31"/>
      <c r="D124" s="55"/>
      <c r="E124" s="31"/>
      <c r="F124" s="31"/>
      <c r="G124" s="56" t="str">
        <f t="shared" ref="G124:G129" si="120">B102</f>
        <v>Adam</v>
      </c>
      <c r="H124" s="31">
        <f t="shared" ref="H124:Z124" si="121">SUMIF($C$5:$C$100,$C102,H$5:H$100)</f>
        <v>13</v>
      </c>
      <c r="I124" s="31">
        <f t="shared" si="121"/>
        <v>10</v>
      </c>
      <c r="J124" s="31">
        <f t="shared" si="121"/>
        <v>11</v>
      </c>
      <c r="K124" s="31">
        <f t="shared" si="121"/>
        <v>7</v>
      </c>
      <c r="L124" s="31">
        <f t="shared" si="121"/>
        <v>5</v>
      </c>
      <c r="M124" s="31">
        <f t="shared" si="121"/>
        <v>2</v>
      </c>
      <c r="N124" s="31">
        <f t="shared" si="121"/>
        <v>2</v>
      </c>
      <c r="O124" s="31">
        <f t="shared" si="121"/>
        <v>2</v>
      </c>
      <c r="P124" s="31">
        <f t="shared" si="121"/>
        <v>2</v>
      </c>
      <c r="Q124" s="31">
        <f t="shared" si="121"/>
        <v>2</v>
      </c>
      <c r="R124" s="31">
        <f t="shared" si="121"/>
        <v>2</v>
      </c>
      <c r="S124" s="31">
        <f t="shared" si="121"/>
        <v>2</v>
      </c>
      <c r="T124" s="31">
        <f t="shared" si="121"/>
        <v>2</v>
      </c>
      <c r="U124" s="31">
        <f t="shared" si="121"/>
        <v>2</v>
      </c>
      <c r="V124" s="31">
        <f t="shared" si="121"/>
        <v>2</v>
      </c>
      <c r="W124" s="31">
        <f t="shared" si="121"/>
        <v>2</v>
      </c>
      <c r="X124" s="31">
        <f t="shared" si="121"/>
        <v>2</v>
      </c>
      <c r="Y124" s="31">
        <f t="shared" si="121"/>
        <v>2</v>
      </c>
      <c r="Z124" s="31">
        <f t="shared" si="121"/>
        <v>2</v>
      </c>
      <c r="AA124" s="31"/>
      <c r="AB124" s="31"/>
    </row>
    <row r="125" spans="1:28" ht="13.2" x14ac:dyDescent="0.25">
      <c r="A125" s="31"/>
      <c r="D125" s="55"/>
      <c r="E125" s="31"/>
      <c r="F125" s="31"/>
      <c r="G125" s="56" t="str">
        <f t="shared" si="120"/>
        <v>Padraic</v>
      </c>
      <c r="H125" s="31">
        <f t="shared" ref="H125:Z125" si="122">SUMIF($C$5:$C$100,$C103,H$5:H$100)</f>
        <v>15</v>
      </c>
      <c r="I125" s="31">
        <f t="shared" si="122"/>
        <v>14</v>
      </c>
      <c r="J125" s="31">
        <f t="shared" si="122"/>
        <v>11</v>
      </c>
      <c r="K125" s="31">
        <f t="shared" si="122"/>
        <v>8</v>
      </c>
      <c r="L125" s="31">
        <f t="shared" si="122"/>
        <v>8</v>
      </c>
      <c r="M125" s="31">
        <f t="shared" si="122"/>
        <v>8</v>
      </c>
      <c r="N125" s="31">
        <f t="shared" si="122"/>
        <v>8</v>
      </c>
      <c r="O125" s="31">
        <f t="shared" si="122"/>
        <v>8</v>
      </c>
      <c r="P125" s="31">
        <f t="shared" si="122"/>
        <v>8</v>
      </c>
      <c r="Q125" s="31">
        <f t="shared" si="122"/>
        <v>8</v>
      </c>
      <c r="R125" s="31">
        <f t="shared" si="122"/>
        <v>8</v>
      </c>
      <c r="S125" s="31">
        <f t="shared" si="122"/>
        <v>8</v>
      </c>
      <c r="T125" s="31">
        <f t="shared" si="122"/>
        <v>8</v>
      </c>
      <c r="U125" s="31">
        <f t="shared" si="122"/>
        <v>8</v>
      </c>
      <c r="V125" s="31">
        <f t="shared" si="122"/>
        <v>8</v>
      </c>
      <c r="W125" s="31">
        <f t="shared" si="122"/>
        <v>8</v>
      </c>
      <c r="X125" s="31">
        <f t="shared" si="122"/>
        <v>8</v>
      </c>
      <c r="Y125" s="31">
        <f t="shared" si="122"/>
        <v>8</v>
      </c>
      <c r="Z125" s="31">
        <f t="shared" si="122"/>
        <v>8</v>
      </c>
      <c r="AA125" s="31"/>
      <c r="AB125" s="31"/>
    </row>
    <row r="126" spans="1:28" ht="13.2" x14ac:dyDescent="0.25">
      <c r="A126" s="31"/>
      <c r="D126" s="55"/>
      <c r="E126" s="31"/>
      <c r="F126" s="31"/>
      <c r="G126" s="56" t="str">
        <f t="shared" si="120"/>
        <v>Chris</v>
      </c>
      <c r="H126" s="31">
        <f t="shared" ref="H126:Z126" si="123">SUMIF($C$5:$C$100,$C104,H$5:H$100)</f>
        <v>11</v>
      </c>
      <c r="I126" s="31">
        <f t="shared" si="123"/>
        <v>11</v>
      </c>
      <c r="J126" s="31">
        <f t="shared" si="123"/>
        <v>11</v>
      </c>
      <c r="K126" s="31">
        <f t="shared" si="123"/>
        <v>11</v>
      </c>
      <c r="L126" s="31">
        <f t="shared" si="123"/>
        <v>10</v>
      </c>
      <c r="M126" s="31">
        <f t="shared" si="123"/>
        <v>9</v>
      </c>
      <c r="N126" s="31">
        <f t="shared" si="123"/>
        <v>9</v>
      </c>
      <c r="O126" s="31">
        <f t="shared" si="123"/>
        <v>9</v>
      </c>
      <c r="P126" s="31">
        <f t="shared" si="123"/>
        <v>9</v>
      </c>
      <c r="Q126" s="31">
        <f t="shared" si="123"/>
        <v>9</v>
      </c>
      <c r="R126" s="31">
        <f t="shared" si="123"/>
        <v>9</v>
      </c>
      <c r="S126" s="31">
        <f t="shared" si="123"/>
        <v>9</v>
      </c>
      <c r="T126" s="31">
        <f t="shared" si="123"/>
        <v>9</v>
      </c>
      <c r="U126" s="31">
        <f t="shared" si="123"/>
        <v>9</v>
      </c>
      <c r="V126" s="31">
        <f t="shared" si="123"/>
        <v>9</v>
      </c>
      <c r="W126" s="31">
        <f t="shared" si="123"/>
        <v>9</v>
      </c>
      <c r="X126" s="31">
        <f t="shared" si="123"/>
        <v>9</v>
      </c>
      <c r="Y126" s="31">
        <f t="shared" si="123"/>
        <v>9</v>
      </c>
      <c r="Z126" s="31">
        <f t="shared" si="123"/>
        <v>9</v>
      </c>
      <c r="AA126" s="31"/>
      <c r="AB126" s="31"/>
    </row>
    <row r="127" spans="1:28" ht="13.2" x14ac:dyDescent="0.25">
      <c r="A127" s="31"/>
      <c r="D127" s="55"/>
      <c r="E127" s="31"/>
      <c r="F127" s="31"/>
      <c r="G127" s="56">
        <f t="shared" si="120"/>
        <v>0</v>
      </c>
      <c r="H127" s="31">
        <f t="shared" ref="H127:Z127" si="124">SUMIF($C$5:$C$100,$C105,H$5:H$100)</f>
        <v>0</v>
      </c>
      <c r="I127" s="31">
        <f t="shared" si="124"/>
        <v>0</v>
      </c>
      <c r="J127" s="31">
        <f t="shared" si="124"/>
        <v>0</v>
      </c>
      <c r="K127" s="31">
        <f t="shared" si="124"/>
        <v>0</v>
      </c>
      <c r="L127" s="31">
        <f t="shared" si="124"/>
        <v>0</v>
      </c>
      <c r="M127" s="31">
        <f t="shared" si="124"/>
        <v>0</v>
      </c>
      <c r="N127" s="31">
        <f t="shared" si="124"/>
        <v>0</v>
      </c>
      <c r="O127" s="31">
        <f t="shared" si="124"/>
        <v>0</v>
      </c>
      <c r="P127" s="31">
        <f t="shared" si="124"/>
        <v>0</v>
      </c>
      <c r="Q127" s="31">
        <f t="shared" si="124"/>
        <v>0</v>
      </c>
      <c r="R127" s="31">
        <f t="shared" si="124"/>
        <v>0</v>
      </c>
      <c r="S127" s="31">
        <f t="shared" si="124"/>
        <v>0</v>
      </c>
      <c r="T127" s="31">
        <f t="shared" si="124"/>
        <v>0</v>
      </c>
      <c r="U127" s="31">
        <f t="shared" si="124"/>
        <v>0</v>
      </c>
      <c r="V127" s="31">
        <f t="shared" si="124"/>
        <v>0</v>
      </c>
      <c r="W127" s="31">
        <f t="shared" si="124"/>
        <v>0</v>
      </c>
      <c r="X127" s="31">
        <f t="shared" si="124"/>
        <v>0</v>
      </c>
      <c r="Y127" s="31">
        <f t="shared" si="124"/>
        <v>0</v>
      </c>
      <c r="Z127" s="31">
        <f t="shared" si="124"/>
        <v>0</v>
      </c>
      <c r="AA127" s="31"/>
      <c r="AB127" s="31"/>
    </row>
    <row r="128" spans="1:28" ht="13.2" x14ac:dyDescent="0.25">
      <c r="A128" s="31"/>
      <c r="D128" s="55"/>
      <c r="E128" s="31"/>
      <c r="F128" s="31"/>
      <c r="G128" s="56">
        <f t="shared" si="120"/>
        <v>0</v>
      </c>
      <c r="H128" s="31">
        <f t="shared" ref="H128:Z128" si="125">SUMIF($C$5:$C$100,$C106,H$5:H$100)</f>
        <v>0</v>
      </c>
      <c r="I128" s="31">
        <f t="shared" si="125"/>
        <v>0</v>
      </c>
      <c r="J128" s="31">
        <f t="shared" si="125"/>
        <v>0</v>
      </c>
      <c r="K128" s="31">
        <f t="shared" si="125"/>
        <v>0</v>
      </c>
      <c r="L128" s="31">
        <f t="shared" si="125"/>
        <v>0</v>
      </c>
      <c r="M128" s="31">
        <f t="shared" si="125"/>
        <v>0</v>
      </c>
      <c r="N128" s="31">
        <f t="shared" si="125"/>
        <v>0</v>
      </c>
      <c r="O128" s="31">
        <f t="shared" si="125"/>
        <v>0</v>
      </c>
      <c r="P128" s="31">
        <f t="shared" si="125"/>
        <v>0</v>
      </c>
      <c r="Q128" s="31">
        <f t="shared" si="125"/>
        <v>0</v>
      </c>
      <c r="R128" s="31">
        <f t="shared" si="125"/>
        <v>0</v>
      </c>
      <c r="S128" s="31">
        <f t="shared" si="125"/>
        <v>0</v>
      </c>
      <c r="T128" s="31">
        <f t="shared" si="125"/>
        <v>0</v>
      </c>
      <c r="U128" s="31">
        <f t="shared" si="125"/>
        <v>0</v>
      </c>
      <c r="V128" s="31">
        <f t="shared" si="125"/>
        <v>0</v>
      </c>
      <c r="W128" s="31">
        <f t="shared" si="125"/>
        <v>0</v>
      </c>
      <c r="X128" s="31">
        <f t="shared" si="125"/>
        <v>0</v>
      </c>
      <c r="Y128" s="31">
        <f t="shared" si="125"/>
        <v>0</v>
      </c>
      <c r="Z128" s="31">
        <f t="shared" si="125"/>
        <v>0</v>
      </c>
      <c r="AA128" s="31"/>
      <c r="AB128" s="31"/>
    </row>
    <row r="129" spans="1:28" ht="13.2" x14ac:dyDescent="0.25">
      <c r="A129" s="31"/>
      <c r="B129" s="61"/>
      <c r="C129" s="58"/>
      <c r="D129" s="55"/>
      <c r="E129" s="31"/>
      <c r="F129" s="31"/>
      <c r="G129" s="56">
        <f t="shared" si="120"/>
        <v>0</v>
      </c>
      <c r="H129" s="31">
        <f t="shared" ref="H129:Z129" si="126">SUMIF($C$5:$C$100,$C129,H$5:H$100)</f>
        <v>0</v>
      </c>
      <c r="I129" s="31">
        <f t="shared" si="126"/>
        <v>0</v>
      </c>
      <c r="J129" s="31">
        <f t="shared" si="126"/>
        <v>0</v>
      </c>
      <c r="K129" s="31">
        <f t="shared" si="126"/>
        <v>0</v>
      </c>
      <c r="L129" s="31">
        <f t="shared" si="126"/>
        <v>0</v>
      </c>
      <c r="M129" s="31">
        <f t="shared" si="126"/>
        <v>0</v>
      </c>
      <c r="N129" s="31">
        <f t="shared" si="126"/>
        <v>0</v>
      </c>
      <c r="O129" s="31">
        <f t="shared" si="126"/>
        <v>0</v>
      </c>
      <c r="P129" s="31">
        <f t="shared" si="126"/>
        <v>0</v>
      </c>
      <c r="Q129" s="31">
        <f t="shared" si="126"/>
        <v>0</v>
      </c>
      <c r="R129" s="31">
        <f t="shared" si="126"/>
        <v>0</v>
      </c>
      <c r="S129" s="31">
        <f t="shared" si="126"/>
        <v>0</v>
      </c>
      <c r="T129" s="31">
        <f t="shared" si="126"/>
        <v>0</v>
      </c>
      <c r="U129" s="31">
        <f t="shared" si="126"/>
        <v>0</v>
      </c>
      <c r="V129" s="31">
        <f t="shared" si="126"/>
        <v>0</v>
      </c>
      <c r="W129" s="31">
        <f t="shared" si="126"/>
        <v>0</v>
      </c>
      <c r="X129" s="31">
        <f t="shared" si="126"/>
        <v>0</v>
      </c>
      <c r="Y129" s="31">
        <f t="shared" si="126"/>
        <v>0</v>
      </c>
      <c r="Z129" s="31">
        <f t="shared" si="126"/>
        <v>0</v>
      </c>
      <c r="AA129" s="31"/>
      <c r="AB129" s="31"/>
    </row>
    <row r="130" spans="1:28" ht="13.2" x14ac:dyDescent="0.25">
      <c r="A130" s="31"/>
      <c r="B130" s="61"/>
      <c r="C130" s="58"/>
      <c r="D130" s="55"/>
      <c r="E130" s="31"/>
      <c r="F130" s="31"/>
      <c r="G130" s="56" t="str">
        <f>C108</f>
        <v>ALL</v>
      </c>
      <c r="H130" s="31">
        <f t="shared" ref="H130:Z130" si="127">SUMIF($C$5:$C$100,$C130,H$5:H$100)</f>
        <v>0</v>
      </c>
      <c r="I130" s="31">
        <f t="shared" si="127"/>
        <v>0</v>
      </c>
      <c r="J130" s="31">
        <f t="shared" si="127"/>
        <v>0</v>
      </c>
      <c r="K130" s="31">
        <f t="shared" si="127"/>
        <v>0</v>
      </c>
      <c r="L130" s="31">
        <f t="shared" si="127"/>
        <v>0</v>
      </c>
      <c r="M130" s="31">
        <f t="shared" si="127"/>
        <v>0</v>
      </c>
      <c r="N130" s="31">
        <f t="shared" si="127"/>
        <v>0</v>
      </c>
      <c r="O130" s="31">
        <f t="shared" si="127"/>
        <v>0</v>
      </c>
      <c r="P130" s="31">
        <f t="shared" si="127"/>
        <v>0</v>
      </c>
      <c r="Q130" s="31">
        <f t="shared" si="127"/>
        <v>0</v>
      </c>
      <c r="R130" s="31">
        <f t="shared" si="127"/>
        <v>0</v>
      </c>
      <c r="S130" s="31">
        <f t="shared" si="127"/>
        <v>0</v>
      </c>
      <c r="T130" s="31">
        <f t="shared" si="127"/>
        <v>0</v>
      </c>
      <c r="U130" s="31">
        <f t="shared" si="127"/>
        <v>0</v>
      </c>
      <c r="V130" s="31">
        <f t="shared" si="127"/>
        <v>0</v>
      </c>
      <c r="W130" s="31">
        <f t="shared" si="127"/>
        <v>0</v>
      </c>
      <c r="X130" s="31">
        <f t="shared" si="127"/>
        <v>0</v>
      </c>
      <c r="Y130" s="31">
        <f t="shared" si="127"/>
        <v>0</v>
      </c>
      <c r="Z130" s="31">
        <f t="shared" si="127"/>
        <v>0</v>
      </c>
      <c r="AA130" s="31"/>
      <c r="AB130" s="31"/>
    </row>
    <row r="131" spans="1:28" ht="13.2" x14ac:dyDescent="0.25">
      <c r="A131" s="31"/>
      <c r="B131" s="61"/>
      <c r="C131" s="58"/>
      <c r="D131" s="55"/>
      <c r="E131" s="31"/>
      <c r="F131" s="31"/>
      <c r="G131" s="56" t="s">
        <v>40</v>
      </c>
      <c r="H131" s="31">
        <f t="shared" ref="H131:Z131" si="128">SUMIF($C$5:$C$100,"",H$5:H$100)</f>
        <v>0</v>
      </c>
      <c r="I131" s="31">
        <f t="shared" si="128"/>
        <v>0</v>
      </c>
      <c r="J131" s="31">
        <f t="shared" si="128"/>
        <v>0</v>
      </c>
      <c r="K131" s="31">
        <f t="shared" si="128"/>
        <v>0</v>
      </c>
      <c r="L131" s="31">
        <f t="shared" si="128"/>
        <v>0</v>
      </c>
      <c r="M131" s="31">
        <f t="shared" si="128"/>
        <v>0</v>
      </c>
      <c r="N131" s="31">
        <f t="shared" si="128"/>
        <v>0</v>
      </c>
      <c r="O131" s="31">
        <f t="shared" si="128"/>
        <v>0</v>
      </c>
      <c r="P131" s="31">
        <f t="shared" si="128"/>
        <v>0</v>
      </c>
      <c r="Q131" s="31">
        <f t="shared" si="128"/>
        <v>0</v>
      </c>
      <c r="R131" s="31">
        <f t="shared" si="128"/>
        <v>0</v>
      </c>
      <c r="S131" s="31">
        <f t="shared" si="128"/>
        <v>0</v>
      </c>
      <c r="T131" s="31">
        <f t="shared" si="128"/>
        <v>0</v>
      </c>
      <c r="U131" s="31">
        <f t="shared" si="128"/>
        <v>0</v>
      </c>
      <c r="V131" s="31">
        <f t="shared" si="128"/>
        <v>0</v>
      </c>
      <c r="W131" s="31">
        <f t="shared" si="128"/>
        <v>0</v>
      </c>
      <c r="X131" s="31">
        <f t="shared" si="128"/>
        <v>0</v>
      </c>
      <c r="Y131" s="31">
        <f t="shared" si="128"/>
        <v>0</v>
      </c>
      <c r="Z131" s="31">
        <f t="shared" si="128"/>
        <v>0</v>
      </c>
      <c r="AA131" s="31"/>
      <c r="AB131" s="31"/>
    </row>
    <row r="132" spans="1:28" ht="13.2" x14ac:dyDescent="0.25">
      <c r="A132" s="31"/>
      <c r="B132" s="61"/>
      <c r="C132" s="58"/>
      <c r="D132" s="55"/>
      <c r="E132" s="31"/>
      <c r="F132" s="31"/>
      <c r="G132" s="56">
        <f t="shared" ref="G132:G134" si="129">C132</f>
        <v>0</v>
      </c>
      <c r="H132" s="31">
        <f t="shared" ref="H132:Z132" si="130">IF(H$3&gt;$A$2,0, SUMIF($C$5:$C$100,$C132,H$5:H$100))</f>
        <v>0</v>
      </c>
      <c r="I132" s="57">
        <f t="shared" si="130"/>
        <v>0</v>
      </c>
      <c r="J132" s="57">
        <f t="shared" si="130"/>
        <v>0</v>
      </c>
      <c r="K132" s="57">
        <f t="shared" si="130"/>
        <v>0</v>
      </c>
      <c r="L132" s="57">
        <f t="shared" si="130"/>
        <v>0</v>
      </c>
      <c r="M132" s="57">
        <f t="shared" si="130"/>
        <v>0</v>
      </c>
      <c r="N132" s="57">
        <f t="shared" si="130"/>
        <v>0</v>
      </c>
      <c r="O132" s="57">
        <f t="shared" si="130"/>
        <v>0</v>
      </c>
      <c r="P132" s="57">
        <f t="shared" si="130"/>
        <v>0</v>
      </c>
      <c r="Q132" s="57">
        <f t="shared" si="130"/>
        <v>0</v>
      </c>
      <c r="R132" s="57">
        <f t="shared" si="130"/>
        <v>0</v>
      </c>
      <c r="S132" s="57">
        <f t="shared" si="130"/>
        <v>0</v>
      </c>
      <c r="T132" s="57">
        <f t="shared" si="130"/>
        <v>0</v>
      </c>
      <c r="U132" s="57">
        <f t="shared" si="130"/>
        <v>0</v>
      </c>
      <c r="V132" s="57">
        <f t="shared" si="130"/>
        <v>0</v>
      </c>
      <c r="W132" s="57">
        <f t="shared" si="130"/>
        <v>0</v>
      </c>
      <c r="X132" s="57">
        <f t="shared" si="130"/>
        <v>0</v>
      </c>
      <c r="Y132" s="57">
        <f t="shared" si="130"/>
        <v>0</v>
      </c>
      <c r="Z132" s="57">
        <f t="shared" si="130"/>
        <v>0</v>
      </c>
      <c r="AA132" s="31"/>
      <c r="AB132" s="31"/>
    </row>
    <row r="133" spans="1:28" ht="13.2" x14ac:dyDescent="0.25">
      <c r="A133" s="31"/>
      <c r="B133" s="61"/>
      <c r="C133" s="58"/>
      <c r="D133" s="55"/>
      <c r="E133" s="31"/>
      <c r="F133" s="31"/>
      <c r="G133" s="56">
        <f t="shared" si="129"/>
        <v>0</v>
      </c>
      <c r="H133" s="31">
        <f t="shared" ref="H133:Z133" si="131">IF(H$3&gt;$A$2,0, SUMIF($C$5:$C$100,$C133,H$5:H$100))</f>
        <v>0</v>
      </c>
      <c r="I133" s="57">
        <f t="shared" si="131"/>
        <v>0</v>
      </c>
      <c r="J133" s="57">
        <f t="shared" si="131"/>
        <v>0</v>
      </c>
      <c r="K133" s="57">
        <f t="shared" si="131"/>
        <v>0</v>
      </c>
      <c r="L133" s="57">
        <f t="shared" si="131"/>
        <v>0</v>
      </c>
      <c r="M133" s="57">
        <f t="shared" si="131"/>
        <v>0</v>
      </c>
      <c r="N133" s="57">
        <f t="shared" si="131"/>
        <v>0</v>
      </c>
      <c r="O133" s="57">
        <f t="shared" si="131"/>
        <v>0</v>
      </c>
      <c r="P133" s="57">
        <f t="shared" si="131"/>
        <v>0</v>
      </c>
      <c r="Q133" s="57">
        <f t="shared" si="131"/>
        <v>0</v>
      </c>
      <c r="R133" s="57">
        <f t="shared" si="131"/>
        <v>0</v>
      </c>
      <c r="S133" s="57">
        <f t="shared" si="131"/>
        <v>0</v>
      </c>
      <c r="T133" s="57">
        <f t="shared" si="131"/>
        <v>0</v>
      </c>
      <c r="U133" s="57">
        <f t="shared" si="131"/>
        <v>0</v>
      </c>
      <c r="V133" s="57">
        <f t="shared" si="131"/>
        <v>0</v>
      </c>
      <c r="W133" s="57">
        <f t="shared" si="131"/>
        <v>0</v>
      </c>
      <c r="X133" s="57">
        <f t="shared" si="131"/>
        <v>0</v>
      </c>
      <c r="Y133" s="57">
        <f t="shared" si="131"/>
        <v>0</v>
      </c>
      <c r="Z133" s="57">
        <f t="shared" si="131"/>
        <v>0</v>
      </c>
      <c r="AA133" s="31"/>
      <c r="AB133" s="31"/>
    </row>
    <row r="134" spans="1:28" ht="13.2" x14ac:dyDescent="0.25">
      <c r="A134" s="31"/>
      <c r="B134" s="61"/>
      <c r="C134" s="58"/>
      <c r="D134" s="55"/>
      <c r="E134" s="31"/>
      <c r="F134" s="31"/>
      <c r="G134" s="56">
        <f t="shared" si="129"/>
        <v>0</v>
      </c>
      <c r="H134" s="31">
        <f t="shared" ref="H134:Z134" si="132">IF(H$3&gt;$A$2,0, SUMIF($C$5:$C$100,$C134,H$5:H$100))</f>
        <v>0</v>
      </c>
      <c r="I134" s="57">
        <f t="shared" si="132"/>
        <v>0</v>
      </c>
      <c r="J134" s="57">
        <f t="shared" si="132"/>
        <v>0</v>
      </c>
      <c r="K134" s="57">
        <f t="shared" si="132"/>
        <v>0</v>
      </c>
      <c r="L134" s="57">
        <f t="shared" si="132"/>
        <v>0</v>
      </c>
      <c r="M134" s="57">
        <f t="shared" si="132"/>
        <v>0</v>
      </c>
      <c r="N134" s="57">
        <f t="shared" si="132"/>
        <v>0</v>
      </c>
      <c r="O134" s="57">
        <f t="shared" si="132"/>
        <v>0</v>
      </c>
      <c r="P134" s="57">
        <f t="shared" si="132"/>
        <v>0</v>
      </c>
      <c r="Q134" s="57">
        <f t="shared" si="132"/>
        <v>0</v>
      </c>
      <c r="R134" s="57">
        <f t="shared" si="132"/>
        <v>0</v>
      </c>
      <c r="S134" s="57">
        <f t="shared" si="132"/>
        <v>0</v>
      </c>
      <c r="T134" s="57">
        <f t="shared" si="132"/>
        <v>0</v>
      </c>
      <c r="U134" s="57">
        <f t="shared" si="132"/>
        <v>0</v>
      </c>
      <c r="V134" s="57">
        <f t="shared" si="132"/>
        <v>0</v>
      </c>
      <c r="W134" s="57">
        <f t="shared" si="132"/>
        <v>0</v>
      </c>
      <c r="X134" s="57">
        <f t="shared" si="132"/>
        <v>0</v>
      </c>
      <c r="Y134" s="57">
        <f t="shared" si="132"/>
        <v>0</v>
      </c>
      <c r="Z134" s="57">
        <f t="shared" si="132"/>
        <v>0</v>
      </c>
      <c r="AA134" s="31"/>
      <c r="AB134" s="31"/>
    </row>
    <row r="135" spans="1:28" ht="13.2" x14ac:dyDescent="0.25">
      <c r="A135" s="31"/>
      <c r="B135" s="52"/>
      <c r="C135" s="58"/>
      <c r="D135" s="55"/>
      <c r="E135" s="32"/>
      <c r="F135" s="31"/>
      <c r="G135" s="56"/>
      <c r="H135" s="32"/>
      <c r="I135" s="32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31"/>
      <c r="AB135" s="31"/>
    </row>
    <row r="136" spans="1:28" ht="13.2" x14ac:dyDescent="0.25">
      <c r="A136" s="31"/>
      <c r="B136" s="52"/>
      <c r="C136" s="58"/>
      <c r="D136" s="55"/>
      <c r="E136" s="32"/>
      <c r="F136" s="31" t="s">
        <v>55</v>
      </c>
      <c r="G136" s="56">
        <f>COUNTIF(G124:G129,"&lt;&gt;")</f>
        <v>6</v>
      </c>
      <c r="H136" s="32"/>
      <c r="I136" s="32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31"/>
      <c r="AB136" s="31"/>
    </row>
    <row r="137" spans="1:28" ht="13.2" x14ac:dyDescent="0.25">
      <c r="A137" s="31"/>
      <c r="B137" s="52"/>
      <c r="C137" s="58"/>
      <c r="D137" s="55"/>
      <c r="E137" s="32"/>
      <c r="F137" s="31"/>
      <c r="G137" s="56"/>
      <c r="H137" s="32">
        <v>0</v>
      </c>
      <c r="I137" s="32">
        <f t="shared" ref="I137:Y137" si="133">IF(I$3&gt;$A$2,$Z$137,0)</f>
        <v>0</v>
      </c>
      <c r="J137" s="32">
        <f t="shared" si="133"/>
        <v>0</v>
      </c>
      <c r="K137" s="32">
        <f t="shared" si="133"/>
        <v>0</v>
      </c>
      <c r="L137" s="32">
        <f t="shared" si="133"/>
        <v>0</v>
      </c>
      <c r="M137" s="32">
        <f t="shared" si="133"/>
        <v>0</v>
      </c>
      <c r="N137" s="32">
        <f t="shared" si="133"/>
        <v>0</v>
      </c>
      <c r="O137" s="32">
        <f t="shared" si="133"/>
        <v>0</v>
      </c>
      <c r="P137" s="32">
        <f t="shared" si="133"/>
        <v>0</v>
      </c>
      <c r="Q137" s="32">
        <f t="shared" si="133"/>
        <v>0</v>
      </c>
      <c r="R137" s="32">
        <f t="shared" si="133"/>
        <v>0</v>
      </c>
      <c r="S137" s="32">
        <f t="shared" si="133"/>
        <v>0</v>
      </c>
      <c r="T137" s="32">
        <f t="shared" si="133"/>
        <v>0</v>
      </c>
      <c r="U137" s="32">
        <f t="shared" si="133"/>
        <v>0</v>
      </c>
      <c r="V137" s="32">
        <f t="shared" si="133"/>
        <v>0</v>
      </c>
      <c r="W137" s="32">
        <f t="shared" si="133"/>
        <v>0</v>
      </c>
      <c r="X137" s="32">
        <f t="shared" si="133"/>
        <v>0</v>
      </c>
      <c r="Y137" s="32">
        <f t="shared" si="133"/>
        <v>0</v>
      </c>
      <c r="Z137" s="32">
        <f>$H$113</f>
        <v>39</v>
      </c>
      <c r="AA137" s="31"/>
      <c r="AB137" s="31"/>
    </row>
    <row r="138" spans="1:28" ht="13.2" x14ac:dyDescent="0.25">
      <c r="A138" s="31"/>
      <c r="B138" s="52"/>
      <c r="C138" s="58"/>
      <c r="D138" s="55"/>
      <c r="E138" s="32"/>
      <c r="F138" s="31"/>
      <c r="G138" s="56" t="s">
        <v>56</v>
      </c>
      <c r="H138" s="32">
        <f t="shared" ref="H138:Z138" si="134">SUM(H124:H134)/$G$136</f>
        <v>6.5</v>
      </c>
      <c r="I138" s="32">
        <f t="shared" si="134"/>
        <v>5.833333333333333</v>
      </c>
      <c r="J138" s="32">
        <f t="shared" si="134"/>
        <v>5.5</v>
      </c>
      <c r="K138" s="32">
        <f t="shared" si="134"/>
        <v>4.333333333333333</v>
      </c>
      <c r="L138" s="32">
        <f t="shared" si="134"/>
        <v>3.8333333333333335</v>
      </c>
      <c r="M138" s="32">
        <f t="shared" si="134"/>
        <v>3.1666666666666665</v>
      </c>
      <c r="N138" s="32">
        <f t="shared" si="134"/>
        <v>3.1666666666666665</v>
      </c>
      <c r="O138" s="32">
        <f t="shared" si="134"/>
        <v>3.1666666666666665</v>
      </c>
      <c r="P138" s="32">
        <f t="shared" si="134"/>
        <v>3.1666666666666665</v>
      </c>
      <c r="Q138" s="32">
        <f t="shared" si="134"/>
        <v>3.1666666666666665</v>
      </c>
      <c r="R138" s="32">
        <f t="shared" si="134"/>
        <v>3.1666666666666665</v>
      </c>
      <c r="S138" s="32">
        <f t="shared" si="134"/>
        <v>3.1666666666666665</v>
      </c>
      <c r="T138" s="32">
        <f t="shared" si="134"/>
        <v>3.1666666666666665</v>
      </c>
      <c r="U138" s="32">
        <f t="shared" si="134"/>
        <v>3.1666666666666665</v>
      </c>
      <c r="V138" s="32">
        <f t="shared" si="134"/>
        <v>3.1666666666666665</v>
      </c>
      <c r="W138" s="32">
        <f t="shared" si="134"/>
        <v>3.1666666666666665</v>
      </c>
      <c r="X138" s="32">
        <f t="shared" si="134"/>
        <v>3.1666666666666665</v>
      </c>
      <c r="Y138" s="32">
        <f t="shared" si="134"/>
        <v>3.1666666666666665</v>
      </c>
      <c r="Z138" s="32">
        <f t="shared" si="134"/>
        <v>3.1666666666666665</v>
      </c>
      <c r="AA138" s="31"/>
      <c r="AB138" s="31"/>
    </row>
    <row r="139" spans="1:28" ht="13.2" x14ac:dyDescent="0.25">
      <c r="A139" s="31"/>
      <c r="B139" s="52"/>
      <c r="C139" s="58"/>
      <c r="D139" s="55"/>
      <c r="E139" s="32"/>
      <c r="F139" s="31"/>
      <c r="G139" s="56" t="s">
        <v>45</v>
      </c>
      <c r="H139" s="32">
        <f t="shared" ref="H139:Z139" si="135">H113/$G$136</f>
        <v>6.5</v>
      </c>
      <c r="I139" s="32">
        <f t="shared" si="135"/>
        <v>6.5</v>
      </c>
      <c r="J139" s="32">
        <f t="shared" si="135"/>
        <v>5.8500000000000005</v>
      </c>
      <c r="K139" s="32">
        <f t="shared" si="135"/>
        <v>5.2</v>
      </c>
      <c r="L139" s="32">
        <f t="shared" si="135"/>
        <v>4.55</v>
      </c>
      <c r="M139" s="32">
        <f t="shared" si="135"/>
        <v>3.9</v>
      </c>
      <c r="N139" s="32">
        <f t="shared" si="135"/>
        <v>3.25</v>
      </c>
      <c r="O139" s="32">
        <f t="shared" si="135"/>
        <v>2.6</v>
      </c>
      <c r="P139" s="32">
        <f t="shared" si="135"/>
        <v>1.95</v>
      </c>
      <c r="Q139" s="32">
        <f t="shared" si="135"/>
        <v>1.3</v>
      </c>
      <c r="R139" s="32">
        <f t="shared" si="135"/>
        <v>0.65</v>
      </c>
      <c r="S139" s="32">
        <f t="shared" si="135"/>
        <v>0</v>
      </c>
      <c r="T139" s="32">
        <f t="shared" si="135"/>
        <v>0</v>
      </c>
      <c r="U139" s="32">
        <f t="shared" si="135"/>
        <v>0</v>
      </c>
      <c r="V139" s="32">
        <f t="shared" si="135"/>
        <v>0</v>
      </c>
      <c r="W139" s="32">
        <f t="shared" si="135"/>
        <v>0</v>
      </c>
      <c r="X139" s="32">
        <f t="shared" si="135"/>
        <v>0</v>
      </c>
      <c r="Y139" s="32">
        <f t="shared" si="135"/>
        <v>0</v>
      </c>
      <c r="Z139" s="32">
        <f t="shared" si="135"/>
        <v>0</v>
      </c>
      <c r="AA139" s="31"/>
      <c r="AB139" s="31"/>
    </row>
    <row r="140" spans="1:28" ht="13.2" x14ac:dyDescent="0.25">
      <c r="A140" s="31"/>
      <c r="B140" s="52"/>
      <c r="C140" s="58"/>
      <c r="D140" s="55"/>
      <c r="E140" s="32"/>
      <c r="F140" s="31"/>
      <c r="G140" s="56"/>
      <c r="H140" s="32">
        <f t="shared" ref="H140:Y140" si="136">IF(H137&gt;0,$Z$140,0)</f>
        <v>0</v>
      </c>
      <c r="I140" s="32">
        <f t="shared" si="136"/>
        <v>0</v>
      </c>
      <c r="J140" s="32">
        <f t="shared" si="136"/>
        <v>0</v>
      </c>
      <c r="K140" s="32">
        <f t="shared" si="136"/>
        <v>0</v>
      </c>
      <c r="L140" s="32">
        <f t="shared" si="136"/>
        <v>0</v>
      </c>
      <c r="M140" s="32">
        <f t="shared" si="136"/>
        <v>0</v>
      </c>
      <c r="N140" s="32">
        <f t="shared" si="136"/>
        <v>0</v>
      </c>
      <c r="O140" s="32">
        <f t="shared" si="136"/>
        <v>0</v>
      </c>
      <c r="P140" s="32">
        <f t="shared" si="136"/>
        <v>0</v>
      </c>
      <c r="Q140" s="32">
        <f t="shared" si="136"/>
        <v>0</v>
      </c>
      <c r="R140" s="32">
        <f t="shared" si="136"/>
        <v>0</v>
      </c>
      <c r="S140" s="32">
        <f t="shared" si="136"/>
        <v>0</v>
      </c>
      <c r="T140" s="32">
        <f t="shared" si="136"/>
        <v>0</v>
      </c>
      <c r="U140" s="32">
        <f t="shared" si="136"/>
        <v>0</v>
      </c>
      <c r="V140" s="32">
        <f t="shared" si="136"/>
        <v>0</v>
      </c>
      <c r="W140" s="32">
        <f t="shared" si="136"/>
        <v>0</v>
      </c>
      <c r="X140" s="32">
        <f t="shared" si="136"/>
        <v>0</v>
      </c>
      <c r="Y140" s="32">
        <f t="shared" si="136"/>
        <v>0</v>
      </c>
      <c r="Z140" s="32">
        <f>MAX($H$124:$H$134)</f>
        <v>15</v>
      </c>
      <c r="AA140" s="31"/>
      <c r="AB140" s="31"/>
    </row>
    <row r="141" spans="1:28" ht="13.2" x14ac:dyDescent="0.25">
      <c r="A141" s="31"/>
      <c r="B141" s="52"/>
      <c r="C141" s="58"/>
      <c r="D141" s="55"/>
      <c r="E141" s="32"/>
      <c r="F141" s="31"/>
      <c r="G141" s="56"/>
      <c r="H141" s="32"/>
      <c r="I141" s="32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31"/>
      <c r="AB141" s="31"/>
    </row>
    <row r="142" spans="1:28" ht="13.2" x14ac:dyDescent="0.25">
      <c r="A142" s="31"/>
      <c r="B142" s="52"/>
      <c r="C142" s="58"/>
      <c r="D142" s="55"/>
      <c r="E142" s="32"/>
      <c r="F142" s="31"/>
      <c r="G142" s="56"/>
      <c r="H142" s="11">
        <f>I142-1</f>
        <v>44567</v>
      </c>
      <c r="I142" s="11">
        <f t="shared" ref="I142:Z142" si="137">I3</f>
        <v>44568</v>
      </c>
      <c r="J142" s="11">
        <f t="shared" si="137"/>
        <v>44571</v>
      </c>
      <c r="K142" s="11">
        <f t="shared" si="137"/>
        <v>44572</v>
      </c>
      <c r="L142" s="11">
        <f t="shared" si="137"/>
        <v>44573</v>
      </c>
      <c r="M142" s="11">
        <f t="shared" si="137"/>
        <v>44574</v>
      </c>
      <c r="N142" s="11">
        <f t="shared" si="137"/>
        <v>44575</v>
      </c>
      <c r="O142" s="11">
        <f t="shared" si="137"/>
        <v>44578</v>
      </c>
      <c r="P142" s="11">
        <f t="shared" si="137"/>
        <v>44579</v>
      </c>
      <c r="Q142" s="11">
        <f t="shared" si="137"/>
        <v>44580</v>
      </c>
      <c r="R142" s="11">
        <f t="shared" si="137"/>
        <v>44581</v>
      </c>
      <c r="S142" s="11">
        <f t="shared" si="137"/>
        <v>44582</v>
      </c>
      <c r="T142" s="11">
        <f t="shared" si="137"/>
        <v>44582</v>
      </c>
      <c r="U142" s="11">
        <f t="shared" si="137"/>
        <v>44582</v>
      </c>
      <c r="V142" s="11">
        <f t="shared" si="137"/>
        <v>44582</v>
      </c>
      <c r="W142" s="11">
        <f t="shared" si="137"/>
        <v>44582</v>
      </c>
      <c r="X142" s="11">
        <f t="shared" si="137"/>
        <v>44582</v>
      </c>
      <c r="Y142" s="11">
        <f t="shared" si="137"/>
        <v>44582</v>
      </c>
      <c r="Z142" s="11">
        <f t="shared" si="137"/>
        <v>44582</v>
      </c>
      <c r="AA142" s="31"/>
      <c r="AB142" s="31"/>
    </row>
    <row r="143" spans="1:28" ht="13.2" x14ac:dyDescent="0.25">
      <c r="A143" s="31"/>
      <c r="B143" s="52" t="s">
        <v>57</v>
      </c>
      <c r="C143" s="32">
        <f>H122</f>
        <v>39</v>
      </c>
      <c r="D143" s="55"/>
      <c r="E143" s="32"/>
      <c r="F143" s="31"/>
      <c r="G143" s="56"/>
      <c r="I143">
        <f t="shared" ref="I143:Z143" si="138">I$112</f>
        <v>10</v>
      </c>
      <c r="J143">
        <f t="shared" si="138"/>
        <v>9</v>
      </c>
      <c r="K143">
        <f t="shared" si="138"/>
        <v>8</v>
      </c>
      <c r="L143">
        <f t="shared" si="138"/>
        <v>7</v>
      </c>
      <c r="M143">
        <f t="shared" si="138"/>
        <v>6</v>
      </c>
      <c r="N143">
        <f t="shared" si="138"/>
        <v>5</v>
      </c>
      <c r="O143">
        <f t="shared" si="138"/>
        <v>4</v>
      </c>
      <c r="P143">
        <f t="shared" si="138"/>
        <v>3</v>
      </c>
      <c r="Q143">
        <f t="shared" si="138"/>
        <v>2</v>
      </c>
      <c r="R143">
        <f t="shared" si="138"/>
        <v>1</v>
      </c>
      <c r="S143">
        <f t="shared" si="138"/>
        <v>0</v>
      </c>
      <c r="T143">
        <f t="shared" si="138"/>
        <v>0</v>
      </c>
      <c r="U143">
        <f t="shared" si="138"/>
        <v>0</v>
      </c>
      <c r="V143">
        <f t="shared" si="138"/>
        <v>0</v>
      </c>
      <c r="W143">
        <f t="shared" si="138"/>
        <v>0</v>
      </c>
      <c r="X143">
        <f t="shared" si="138"/>
        <v>0</v>
      </c>
      <c r="Y143">
        <f t="shared" si="138"/>
        <v>0</v>
      </c>
      <c r="Z143">
        <f t="shared" si="138"/>
        <v>0</v>
      </c>
      <c r="AA143" s="31"/>
      <c r="AB143" s="31"/>
    </row>
    <row r="144" spans="1:28" ht="13.2" x14ac:dyDescent="0.25">
      <c r="A144" s="31"/>
      <c r="B144" s="52" t="s">
        <v>58</v>
      </c>
      <c r="C144" s="32">
        <f>IF(I143-C146&lt;$C$110,$C$143,HLOOKUP(C146+$C$110,I143:Z144,2,FALSE))</f>
        <v>19</v>
      </c>
      <c r="D144" s="55"/>
      <c r="E144" s="32"/>
      <c r="F144" s="31"/>
      <c r="G144" s="56"/>
      <c r="H144" s="62">
        <f>C$143</f>
        <v>39</v>
      </c>
      <c r="I144" s="32">
        <f t="shared" ref="I144:Z144" si="139">I$122</f>
        <v>35</v>
      </c>
      <c r="J144" s="32">
        <f t="shared" si="139"/>
        <v>33</v>
      </c>
      <c r="K144" s="32">
        <f t="shared" si="139"/>
        <v>26</v>
      </c>
      <c r="L144" s="32">
        <f t="shared" si="139"/>
        <v>23</v>
      </c>
      <c r="M144" s="32">
        <f t="shared" si="139"/>
        <v>19</v>
      </c>
      <c r="N144" s="32">
        <f t="shared" si="139"/>
        <v>19</v>
      </c>
      <c r="O144" s="32">
        <f t="shared" si="139"/>
        <v>19</v>
      </c>
      <c r="P144" s="32">
        <f t="shared" si="139"/>
        <v>19</v>
      </c>
      <c r="Q144" s="32">
        <f t="shared" si="139"/>
        <v>19</v>
      </c>
      <c r="R144" s="32">
        <f t="shared" si="139"/>
        <v>19</v>
      </c>
      <c r="S144" s="32">
        <f t="shared" si="139"/>
        <v>19</v>
      </c>
      <c r="T144" s="32">
        <f t="shared" si="139"/>
        <v>19</v>
      </c>
      <c r="U144" s="32">
        <f t="shared" si="139"/>
        <v>19</v>
      </c>
      <c r="V144" s="32">
        <f t="shared" si="139"/>
        <v>19</v>
      </c>
      <c r="W144" s="32">
        <f t="shared" si="139"/>
        <v>19</v>
      </c>
      <c r="X144" s="32">
        <f t="shared" si="139"/>
        <v>19</v>
      </c>
      <c r="Y144" s="32">
        <f t="shared" si="139"/>
        <v>19</v>
      </c>
      <c r="Z144" s="32">
        <f t="shared" si="139"/>
        <v>19</v>
      </c>
      <c r="AA144" s="31"/>
      <c r="AB144" s="31"/>
    </row>
    <row r="145" spans="1:28" ht="13.2" x14ac:dyDescent="0.25">
      <c r="A145" s="31"/>
      <c r="B145" s="52" t="s">
        <v>59</v>
      </c>
      <c r="C145" s="32">
        <f>HLOOKUP($C$146,$I$143:$Z$144,2,FALSE)</f>
        <v>19</v>
      </c>
      <c r="D145" s="55"/>
      <c r="E145" s="32"/>
      <c r="F145" s="31"/>
      <c r="G145" s="56" t="s">
        <v>60</v>
      </c>
      <c r="H145" s="32"/>
      <c r="I145" s="32" t="str">
        <f t="shared" ref="I145:Z145" si="140">IF(I143-$C$146&gt;$C$110,"", MAX(0,(I143-$C$146)*$H$146+$C$145))</f>
        <v/>
      </c>
      <c r="J145" s="32" t="str">
        <f t="shared" si="140"/>
        <v/>
      </c>
      <c r="K145" s="32" t="str">
        <f t="shared" si="140"/>
        <v/>
      </c>
      <c r="L145" s="32" t="str">
        <f t="shared" si="140"/>
        <v/>
      </c>
      <c r="M145" s="32" t="str">
        <f t="shared" si="140"/>
        <v/>
      </c>
      <c r="N145" s="32" t="str">
        <f t="shared" si="140"/>
        <v/>
      </c>
      <c r="O145" s="32" t="str">
        <f t="shared" si="140"/>
        <v/>
      </c>
      <c r="P145" s="32">
        <f t="shared" si="140"/>
        <v>19</v>
      </c>
      <c r="Q145" s="32">
        <f t="shared" si="140"/>
        <v>19</v>
      </c>
      <c r="R145" s="32">
        <f t="shared" si="140"/>
        <v>19</v>
      </c>
      <c r="S145" s="32">
        <f t="shared" si="140"/>
        <v>19</v>
      </c>
      <c r="T145" s="32">
        <f t="shared" si="140"/>
        <v>19</v>
      </c>
      <c r="U145" s="32">
        <f t="shared" si="140"/>
        <v>19</v>
      </c>
      <c r="V145" s="32">
        <f t="shared" si="140"/>
        <v>19</v>
      </c>
      <c r="W145" s="32">
        <f t="shared" si="140"/>
        <v>19</v>
      </c>
      <c r="X145" s="32">
        <f t="shared" si="140"/>
        <v>19</v>
      </c>
      <c r="Y145" s="32">
        <f t="shared" si="140"/>
        <v>19</v>
      </c>
      <c r="Z145" s="32">
        <f t="shared" si="140"/>
        <v>19</v>
      </c>
      <c r="AA145" s="31"/>
      <c r="AB145" s="31"/>
    </row>
    <row r="146" spans="1:28" ht="13.2" x14ac:dyDescent="0.25">
      <c r="A146" s="31"/>
      <c r="B146" s="53" t="s">
        <v>0</v>
      </c>
      <c r="C146" s="32">
        <f>HLOOKUP($A$2,$H$142:$Z$144,2)</f>
        <v>0</v>
      </c>
      <c r="D146" s="55"/>
      <c r="E146" s="32"/>
      <c r="F146" s="31"/>
      <c r="G146" s="56" t="s">
        <v>61</v>
      </c>
      <c r="H146" s="32">
        <f>(C144-C145)/$C$110</f>
        <v>0</v>
      </c>
      <c r="I146" s="32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31"/>
      <c r="AB146" s="31"/>
    </row>
    <row r="147" spans="1:28" ht="13.2" x14ac:dyDescent="0.25">
      <c r="A147" s="31"/>
      <c r="B147" s="52"/>
      <c r="C147" s="58"/>
      <c r="D147" s="55"/>
      <c r="E147" s="32"/>
      <c r="F147" s="31"/>
      <c r="G147" s="31"/>
      <c r="H147" s="32"/>
      <c r="I147" s="32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31"/>
      <c r="AB147" s="31"/>
    </row>
    <row r="148" spans="1:28" ht="13.2" x14ac:dyDescent="0.25">
      <c r="A148" s="31"/>
      <c r="B148" s="52"/>
      <c r="C148" s="58"/>
      <c r="D148" s="55"/>
      <c r="E148" s="32"/>
      <c r="F148" s="31"/>
      <c r="G148" s="31"/>
      <c r="AA148" s="31"/>
      <c r="AB148" s="31"/>
    </row>
    <row r="149" spans="1:28" ht="13.2" x14ac:dyDescent="0.25">
      <c r="A149" s="31"/>
      <c r="B149" s="52"/>
      <c r="C149" s="58"/>
      <c r="D149" s="55"/>
      <c r="E149" s="32"/>
      <c r="F149" s="31"/>
      <c r="G149" s="31"/>
      <c r="H149" s="32"/>
      <c r="I149" s="32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31"/>
      <c r="AB149" s="31"/>
    </row>
    <row r="150" spans="1:28" ht="13.2" x14ac:dyDescent="0.25">
      <c r="A150" s="31"/>
      <c r="B150" s="52"/>
      <c r="C150" s="58"/>
      <c r="D150" s="55"/>
      <c r="E150" s="32"/>
      <c r="F150" s="31"/>
      <c r="G150" s="31"/>
      <c r="H150" s="32"/>
      <c r="I150" s="32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31"/>
      <c r="AB150" s="31"/>
    </row>
    <row r="151" spans="1:28" ht="13.2" x14ac:dyDescent="0.25">
      <c r="A151" s="31"/>
      <c r="B151" s="52"/>
      <c r="C151" s="58"/>
      <c r="D151" s="55"/>
      <c r="E151" s="32"/>
      <c r="F151" s="31"/>
      <c r="G151" s="31"/>
      <c r="H151" s="32"/>
      <c r="I151" s="32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31"/>
      <c r="AB151" s="31"/>
    </row>
    <row r="152" spans="1:28" ht="13.2" x14ac:dyDescent="0.25">
      <c r="A152" s="31"/>
      <c r="B152" s="52"/>
      <c r="C152" s="58"/>
      <c r="D152" s="55"/>
      <c r="E152" s="32"/>
      <c r="F152" s="31"/>
      <c r="G152" s="31"/>
      <c r="H152" s="32"/>
      <c r="I152" s="32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31"/>
      <c r="AB152" s="31"/>
    </row>
    <row r="153" spans="1:28" ht="13.2" x14ac:dyDescent="0.25">
      <c r="A153" s="31"/>
      <c r="B153" s="52"/>
      <c r="C153" s="58"/>
      <c r="D153" s="55"/>
      <c r="E153" s="32"/>
      <c r="F153" s="31"/>
      <c r="G153" s="31"/>
      <c r="H153" s="32"/>
      <c r="I153" s="32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31"/>
      <c r="AB153" s="31"/>
    </row>
    <row r="154" spans="1:28" ht="13.2" x14ac:dyDescent="0.25">
      <c r="A154" s="31"/>
      <c r="B154" s="52"/>
      <c r="C154" s="58"/>
      <c r="D154" s="55"/>
      <c r="E154" s="32"/>
      <c r="F154" s="31"/>
      <c r="G154" s="31"/>
      <c r="H154" s="32"/>
      <c r="I154" s="32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31"/>
      <c r="AB154" s="31"/>
    </row>
    <row r="155" spans="1:28" ht="13.2" x14ac:dyDescent="0.25">
      <c r="A155" s="31"/>
      <c r="B155" s="52"/>
      <c r="C155" s="58"/>
      <c r="D155" s="55"/>
      <c r="E155" s="32"/>
      <c r="F155" s="31"/>
      <c r="G155" s="31"/>
      <c r="H155" s="32"/>
      <c r="I155" s="32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31"/>
      <c r="AB155" s="31"/>
    </row>
    <row r="156" spans="1:28" ht="13.2" x14ac:dyDescent="0.25">
      <c r="A156" s="31"/>
      <c r="B156" s="52"/>
      <c r="C156" s="58"/>
      <c r="D156" s="55"/>
      <c r="E156" s="32"/>
      <c r="F156" s="31"/>
      <c r="G156" s="31"/>
      <c r="H156" s="32"/>
      <c r="I156" s="32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31"/>
      <c r="AB156" s="31"/>
    </row>
    <row r="157" spans="1:28" ht="13.2" x14ac:dyDescent="0.25">
      <c r="A157" s="31"/>
      <c r="B157" s="52"/>
      <c r="C157" s="58"/>
      <c r="D157" s="55"/>
      <c r="E157" s="32"/>
      <c r="F157" s="31"/>
      <c r="G157" s="31"/>
      <c r="H157" s="32"/>
      <c r="I157" s="32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31"/>
      <c r="AB157" s="31"/>
    </row>
    <row r="158" spans="1:28" ht="13.2" x14ac:dyDescent="0.25">
      <c r="A158" s="31"/>
      <c r="B158" s="52"/>
      <c r="C158" s="58"/>
      <c r="D158" s="55"/>
      <c r="E158" s="32"/>
      <c r="F158" s="31"/>
      <c r="G158" s="31"/>
      <c r="H158" s="32"/>
      <c r="I158" s="32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31"/>
      <c r="AB158" s="31"/>
    </row>
    <row r="159" spans="1:28" ht="13.2" x14ac:dyDescent="0.25">
      <c r="A159" s="31"/>
      <c r="B159" s="52"/>
      <c r="C159" s="58"/>
      <c r="D159" s="55"/>
      <c r="E159" s="32"/>
      <c r="F159" s="31"/>
      <c r="G159" s="31"/>
      <c r="H159" s="32"/>
      <c r="I159" s="32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31"/>
      <c r="AB159" s="31"/>
    </row>
    <row r="160" spans="1:28" ht="13.2" x14ac:dyDescent="0.25">
      <c r="A160" s="31"/>
      <c r="B160" s="52"/>
      <c r="C160" s="58"/>
      <c r="D160" s="55"/>
      <c r="E160" s="32"/>
      <c r="F160" s="31"/>
      <c r="G160" s="31"/>
      <c r="H160" s="32"/>
      <c r="I160" s="32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31"/>
      <c r="AB160" s="31"/>
    </row>
    <row r="161" spans="1:28" ht="13.2" x14ac:dyDescent="0.25">
      <c r="A161" s="31"/>
      <c r="B161" s="52"/>
      <c r="C161" s="58"/>
      <c r="D161" s="55"/>
      <c r="E161" s="32"/>
      <c r="F161" s="31"/>
      <c r="G161" s="31"/>
      <c r="H161" s="32"/>
      <c r="I161" s="32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31"/>
      <c r="AB161" s="31"/>
    </row>
    <row r="162" spans="1:28" ht="13.2" x14ac:dyDescent="0.25">
      <c r="A162" s="31"/>
      <c r="B162" s="52"/>
      <c r="C162" s="58"/>
      <c r="D162" s="55"/>
      <c r="E162" s="32"/>
      <c r="F162" s="31"/>
      <c r="G162" s="31"/>
      <c r="H162" s="32"/>
      <c r="I162" s="32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31"/>
      <c r="AB162" s="31"/>
    </row>
    <row r="163" spans="1:28" ht="13.2" x14ac:dyDescent="0.25">
      <c r="A163" s="31"/>
      <c r="B163" s="52"/>
      <c r="C163" s="58"/>
      <c r="D163" s="55"/>
      <c r="E163" s="32"/>
      <c r="F163" s="31"/>
      <c r="G163" s="31"/>
      <c r="H163" s="32"/>
      <c r="I163" s="32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31"/>
      <c r="AB163" s="31"/>
    </row>
    <row r="164" spans="1:28" ht="13.2" x14ac:dyDescent="0.25">
      <c r="A164" s="31"/>
      <c r="B164" s="52"/>
      <c r="C164" s="58"/>
      <c r="D164" s="55"/>
      <c r="E164" s="32"/>
      <c r="F164" s="31"/>
      <c r="G164" s="31"/>
      <c r="H164" s="32"/>
      <c r="I164" s="32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31"/>
      <c r="AB164" s="31"/>
    </row>
    <row r="165" spans="1:28" ht="13.2" x14ac:dyDescent="0.25">
      <c r="A165" s="31"/>
      <c r="B165" s="52"/>
      <c r="C165" s="58"/>
      <c r="D165" s="55"/>
      <c r="E165" s="32"/>
      <c r="F165" s="31"/>
      <c r="G165" s="31"/>
      <c r="H165" s="32"/>
      <c r="I165" s="32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31"/>
      <c r="AB165" s="31"/>
    </row>
    <row r="166" spans="1:28" ht="13.2" x14ac:dyDescent="0.25">
      <c r="A166" s="31"/>
      <c r="B166" s="52"/>
      <c r="C166" s="58"/>
      <c r="D166" s="55"/>
      <c r="E166" s="32"/>
      <c r="F166" s="31"/>
      <c r="G166" s="31"/>
      <c r="H166" s="32"/>
      <c r="I166" s="32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31"/>
      <c r="AB166" s="31"/>
    </row>
    <row r="167" spans="1:28" ht="13.2" x14ac:dyDescent="0.25">
      <c r="A167" s="31"/>
      <c r="B167" s="52"/>
      <c r="C167" s="58"/>
      <c r="D167" s="55"/>
      <c r="E167" s="32"/>
      <c r="F167" s="31"/>
      <c r="G167" s="31"/>
      <c r="H167" s="32"/>
      <c r="I167" s="32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31"/>
      <c r="AB167" s="31"/>
    </row>
    <row r="168" spans="1:28" ht="13.2" x14ac:dyDescent="0.25">
      <c r="A168" s="31"/>
      <c r="B168" s="52"/>
      <c r="C168" s="58"/>
      <c r="D168" s="55"/>
      <c r="E168" s="32"/>
      <c r="F168" s="31"/>
      <c r="G168" s="31"/>
      <c r="H168" s="32"/>
      <c r="I168" s="32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31"/>
      <c r="AB168" s="31"/>
    </row>
    <row r="169" spans="1:28" ht="13.2" x14ac:dyDescent="0.25">
      <c r="A169" s="31"/>
      <c r="B169" s="52"/>
      <c r="C169" s="58"/>
      <c r="D169" s="55"/>
      <c r="E169" s="32"/>
      <c r="F169" s="31"/>
      <c r="G169" s="31"/>
      <c r="H169" s="32"/>
      <c r="I169" s="32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31"/>
      <c r="AB169" s="31"/>
    </row>
    <row r="170" spans="1:28" ht="13.2" x14ac:dyDescent="0.25">
      <c r="A170" s="31"/>
      <c r="B170" s="52"/>
      <c r="C170" s="58"/>
      <c r="D170" s="55"/>
      <c r="E170" s="32"/>
      <c r="F170" s="31"/>
      <c r="G170" s="31"/>
      <c r="H170" s="32"/>
      <c r="I170" s="32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31"/>
      <c r="AB170" s="31"/>
    </row>
    <row r="171" spans="1:28" ht="13.2" x14ac:dyDescent="0.25">
      <c r="A171" s="31"/>
      <c r="B171" s="52"/>
      <c r="C171" s="58"/>
      <c r="D171" s="55"/>
      <c r="E171" s="32"/>
      <c r="F171" s="31"/>
      <c r="G171" s="31"/>
      <c r="H171" s="32"/>
      <c r="I171" s="32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31"/>
      <c r="AB171" s="31"/>
    </row>
    <row r="172" spans="1:28" ht="13.2" x14ac:dyDescent="0.25">
      <c r="A172" s="31"/>
      <c r="B172" s="52"/>
      <c r="C172" s="58"/>
      <c r="D172" s="55"/>
      <c r="E172" s="32"/>
      <c r="F172" s="31"/>
      <c r="G172" s="31"/>
      <c r="H172" s="32"/>
      <c r="I172" s="32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31"/>
      <c r="AB172" s="31"/>
    </row>
    <row r="173" spans="1:28" ht="13.2" x14ac:dyDescent="0.25">
      <c r="A173" s="31"/>
      <c r="B173" s="52"/>
      <c r="C173" s="58"/>
      <c r="D173" s="55"/>
      <c r="E173" s="32"/>
      <c r="F173" s="31"/>
      <c r="G173" s="31"/>
      <c r="H173" s="32"/>
      <c r="I173" s="32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31"/>
      <c r="AB173" s="31"/>
    </row>
    <row r="174" spans="1:28" ht="13.2" x14ac:dyDescent="0.25">
      <c r="A174" s="31"/>
      <c r="B174" s="52"/>
      <c r="C174" s="58"/>
      <c r="D174" s="55"/>
      <c r="E174" s="32"/>
      <c r="F174" s="31"/>
      <c r="G174" s="31"/>
      <c r="H174" s="32"/>
      <c r="I174" s="32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31"/>
      <c r="AB174" s="31"/>
    </row>
    <row r="175" spans="1:28" ht="13.2" x14ac:dyDescent="0.25">
      <c r="A175" s="31"/>
      <c r="B175" s="52"/>
      <c r="C175" s="58"/>
      <c r="D175" s="55"/>
      <c r="E175" s="32"/>
      <c r="F175" s="31"/>
      <c r="G175" s="31"/>
      <c r="H175" s="32"/>
      <c r="I175" s="32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31"/>
      <c r="AB175" s="31"/>
    </row>
    <row r="176" spans="1:28" ht="13.2" x14ac:dyDescent="0.25">
      <c r="A176" s="31"/>
      <c r="B176" s="52"/>
      <c r="C176" s="58"/>
      <c r="D176" s="55"/>
      <c r="E176" s="32"/>
      <c r="F176" s="31"/>
      <c r="G176" s="31"/>
      <c r="H176" s="32"/>
      <c r="I176" s="32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31"/>
      <c r="AB176" s="31"/>
    </row>
    <row r="177" spans="1:28" ht="13.2" x14ac:dyDescent="0.25">
      <c r="A177" s="31"/>
      <c r="B177" s="52"/>
      <c r="C177" s="58"/>
      <c r="D177" s="55"/>
      <c r="E177" s="32"/>
      <c r="F177" s="31"/>
      <c r="G177" s="31"/>
      <c r="H177" s="32"/>
      <c r="I177" s="32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31"/>
      <c r="AB177" s="31"/>
    </row>
    <row r="178" spans="1:28" ht="13.2" x14ac:dyDescent="0.25">
      <c r="A178" s="31"/>
      <c r="B178" s="52"/>
      <c r="C178" s="58"/>
      <c r="D178" s="55"/>
      <c r="E178" s="32"/>
      <c r="F178" s="31"/>
      <c r="G178" s="31"/>
      <c r="H178" s="32"/>
      <c r="I178" s="32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31"/>
      <c r="AB178" s="31"/>
    </row>
    <row r="179" spans="1:28" ht="13.2" x14ac:dyDescent="0.25">
      <c r="A179" s="31"/>
      <c r="B179" s="52"/>
      <c r="C179" s="58"/>
      <c r="D179" s="55"/>
      <c r="E179" s="32"/>
      <c r="F179" s="31"/>
      <c r="G179" s="31"/>
      <c r="H179" s="32"/>
      <c r="I179" s="32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31"/>
      <c r="AB179" s="31"/>
    </row>
    <row r="180" spans="1:28" ht="13.2" x14ac:dyDescent="0.25">
      <c r="A180" s="31"/>
      <c r="B180" s="52"/>
      <c r="C180" s="58"/>
      <c r="D180" s="55"/>
      <c r="E180" s="32"/>
      <c r="F180" s="31"/>
      <c r="G180" s="31"/>
      <c r="H180" s="32"/>
      <c r="I180" s="32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31"/>
      <c r="AB180" s="31"/>
    </row>
    <row r="181" spans="1:28" ht="13.2" x14ac:dyDescent="0.25">
      <c r="A181" s="31"/>
      <c r="B181" s="52"/>
      <c r="C181" s="58"/>
      <c r="D181" s="55"/>
      <c r="E181" s="32"/>
      <c r="F181" s="31"/>
      <c r="G181" s="31"/>
      <c r="H181" s="32"/>
      <c r="I181" s="32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31"/>
      <c r="AB181" s="31"/>
    </row>
    <row r="182" spans="1:28" ht="13.2" x14ac:dyDescent="0.25">
      <c r="A182" s="31"/>
      <c r="B182" s="52"/>
      <c r="C182" s="58"/>
      <c r="D182" s="55"/>
      <c r="E182" s="32"/>
      <c r="F182" s="31"/>
      <c r="G182" s="31"/>
      <c r="H182" s="32"/>
      <c r="I182" s="32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31"/>
      <c r="AB182" s="31"/>
    </row>
    <row r="183" spans="1:28" ht="13.2" x14ac:dyDescent="0.25">
      <c r="A183" s="31"/>
      <c r="B183" s="52"/>
      <c r="C183" s="58"/>
      <c r="D183" s="55"/>
      <c r="E183" s="32"/>
      <c r="F183" s="31"/>
      <c r="G183" s="31"/>
      <c r="H183" s="32"/>
      <c r="I183" s="32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31"/>
      <c r="AB183" s="31"/>
    </row>
    <row r="184" spans="1:28" ht="13.2" x14ac:dyDescent="0.25">
      <c r="A184" s="31"/>
      <c r="B184" s="52"/>
      <c r="C184" s="58"/>
      <c r="D184" s="55"/>
      <c r="E184" s="32"/>
      <c r="F184" s="31"/>
      <c r="G184" s="31"/>
      <c r="H184" s="32"/>
      <c r="I184" s="32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31"/>
      <c r="AB184" s="31"/>
    </row>
    <row r="185" spans="1:28" ht="13.2" x14ac:dyDescent="0.25">
      <c r="A185" s="31"/>
      <c r="B185" s="52"/>
      <c r="C185" s="58"/>
      <c r="D185" s="55"/>
      <c r="E185" s="32"/>
      <c r="F185" s="31"/>
      <c r="G185" s="31"/>
      <c r="H185" s="32"/>
      <c r="I185" s="32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31"/>
      <c r="AB185" s="31"/>
    </row>
    <row r="186" spans="1:28" ht="13.2" x14ac:dyDescent="0.25">
      <c r="A186" s="31"/>
      <c r="B186" s="52"/>
      <c r="C186" s="58"/>
      <c r="D186" s="55"/>
      <c r="E186" s="32"/>
      <c r="F186" s="31"/>
      <c r="G186" s="31"/>
      <c r="H186" s="32"/>
      <c r="I186" s="32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31"/>
      <c r="AB186" s="31"/>
    </row>
    <row r="187" spans="1:28" ht="13.2" x14ac:dyDescent="0.25">
      <c r="A187" s="31"/>
      <c r="B187" s="52"/>
      <c r="C187" s="58"/>
      <c r="D187" s="55"/>
      <c r="E187" s="32"/>
      <c r="F187" s="31"/>
      <c r="G187" s="31"/>
      <c r="H187" s="32"/>
      <c r="I187" s="32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31"/>
      <c r="AB187" s="31"/>
    </row>
    <row r="188" spans="1:28" ht="13.2" x14ac:dyDescent="0.25">
      <c r="A188" s="31"/>
      <c r="B188" s="52"/>
      <c r="C188" s="58"/>
      <c r="D188" s="55"/>
      <c r="E188" s="32"/>
      <c r="F188" s="31"/>
      <c r="G188" s="31"/>
      <c r="H188" s="32"/>
      <c r="I188" s="32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31"/>
      <c r="AB188" s="31"/>
    </row>
    <row r="189" spans="1:28" ht="13.2" x14ac:dyDescent="0.25">
      <c r="A189" s="31"/>
      <c r="B189" s="52"/>
      <c r="C189" s="58"/>
      <c r="D189" s="55"/>
      <c r="E189" s="32"/>
      <c r="F189" s="31"/>
      <c r="G189" s="31"/>
      <c r="H189" s="32"/>
      <c r="I189" s="32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31"/>
      <c r="AB189" s="31"/>
    </row>
    <row r="190" spans="1:28" ht="13.2" x14ac:dyDescent="0.25">
      <c r="A190" s="31"/>
      <c r="B190" s="52"/>
      <c r="C190" s="58"/>
      <c r="D190" s="55"/>
      <c r="E190" s="32"/>
      <c r="F190" s="31"/>
      <c r="G190" s="31"/>
      <c r="H190" s="32"/>
      <c r="I190" s="32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31"/>
      <c r="AB190" s="31"/>
    </row>
    <row r="191" spans="1:28" ht="13.2" x14ac:dyDescent="0.25">
      <c r="A191" s="31"/>
      <c r="B191" s="52"/>
      <c r="C191" s="58"/>
      <c r="D191" s="55"/>
      <c r="E191" s="32"/>
      <c r="F191" s="31"/>
      <c r="G191" s="31"/>
      <c r="H191" s="32"/>
      <c r="I191" s="32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31"/>
      <c r="AB191" s="31"/>
    </row>
    <row r="192" spans="1:28" ht="13.2" x14ac:dyDescent="0.25">
      <c r="A192" s="31"/>
      <c r="B192" s="52"/>
      <c r="C192" s="58"/>
      <c r="D192" s="55"/>
      <c r="E192" s="32"/>
      <c r="F192" s="31"/>
      <c r="G192" s="31"/>
      <c r="H192" s="32"/>
      <c r="I192" s="32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31"/>
      <c r="AB192" s="31"/>
    </row>
    <row r="193" spans="1:28" ht="13.2" x14ac:dyDescent="0.25">
      <c r="A193" s="31"/>
      <c r="B193" s="52"/>
      <c r="C193" s="58"/>
      <c r="D193" s="55"/>
      <c r="E193" s="32"/>
      <c r="F193" s="31"/>
      <c r="G193" s="31"/>
      <c r="H193" s="32"/>
      <c r="I193" s="32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31"/>
      <c r="AB193" s="31"/>
    </row>
    <row r="194" spans="1:28" ht="13.2" x14ac:dyDescent="0.25">
      <c r="A194" s="31"/>
      <c r="B194" s="52"/>
      <c r="C194" s="58"/>
      <c r="D194" s="55"/>
      <c r="E194" s="32"/>
      <c r="F194" s="31"/>
      <c r="G194" s="31"/>
      <c r="H194" s="32"/>
      <c r="I194" s="32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31"/>
      <c r="AB194" s="31"/>
    </row>
    <row r="195" spans="1:28" ht="13.2" x14ac:dyDescent="0.25">
      <c r="A195" s="31"/>
      <c r="B195" s="52"/>
      <c r="C195" s="58"/>
      <c r="D195" s="55"/>
      <c r="E195" s="32"/>
      <c r="F195" s="31"/>
      <c r="G195" s="31"/>
      <c r="H195" s="32"/>
      <c r="I195" s="32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31"/>
      <c r="AB195" s="31"/>
    </row>
    <row r="196" spans="1:28" ht="13.2" x14ac:dyDescent="0.25">
      <c r="A196" s="31"/>
      <c r="B196" s="52"/>
      <c r="C196" s="58"/>
      <c r="D196" s="55"/>
      <c r="E196" s="32"/>
      <c r="F196" s="31"/>
      <c r="G196" s="31"/>
      <c r="H196" s="32"/>
      <c r="I196" s="32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31"/>
      <c r="AB196" s="31"/>
    </row>
    <row r="197" spans="1:28" ht="13.2" x14ac:dyDescent="0.25">
      <c r="A197" s="31"/>
      <c r="B197" s="52"/>
      <c r="C197" s="58"/>
      <c r="D197" s="55"/>
      <c r="E197" s="32"/>
      <c r="F197" s="31"/>
      <c r="G197" s="31"/>
      <c r="H197" s="32"/>
      <c r="I197" s="32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31"/>
      <c r="AB197" s="31"/>
    </row>
    <row r="198" spans="1:28" ht="13.2" x14ac:dyDescent="0.25">
      <c r="A198" s="31"/>
      <c r="B198" s="52"/>
      <c r="C198" s="58"/>
      <c r="D198" s="55"/>
      <c r="E198" s="32"/>
      <c r="F198" s="31"/>
      <c r="G198" s="31"/>
      <c r="H198" s="32"/>
      <c r="I198" s="32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31"/>
      <c r="AB198" s="31"/>
    </row>
    <row r="199" spans="1:28" ht="13.2" x14ac:dyDescent="0.25">
      <c r="A199" s="31"/>
      <c r="B199" s="52"/>
      <c r="C199" s="58"/>
      <c r="D199" s="55"/>
      <c r="E199" s="32"/>
      <c r="F199" s="31"/>
      <c r="G199" s="31"/>
      <c r="H199" s="32"/>
      <c r="I199" s="32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31"/>
      <c r="AB199" s="31"/>
    </row>
    <row r="200" spans="1:28" ht="13.2" x14ac:dyDescent="0.25">
      <c r="A200" s="31"/>
      <c r="B200" s="52"/>
      <c r="C200" s="58"/>
      <c r="D200" s="55"/>
      <c r="E200" s="32"/>
      <c r="F200" s="31"/>
      <c r="G200" s="31"/>
      <c r="H200" s="32"/>
      <c r="I200" s="32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31"/>
      <c r="AB200" s="31"/>
    </row>
    <row r="201" spans="1:28" ht="13.2" x14ac:dyDescent="0.25">
      <c r="A201" s="31"/>
      <c r="B201" s="52"/>
      <c r="C201" s="58"/>
      <c r="D201" s="55"/>
      <c r="E201" s="32"/>
      <c r="F201" s="31"/>
      <c r="G201" s="31"/>
      <c r="H201" s="32"/>
      <c r="I201" s="32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31"/>
      <c r="AB201" s="31"/>
    </row>
    <row r="202" spans="1:28" ht="13.2" x14ac:dyDescent="0.25">
      <c r="A202" s="31"/>
      <c r="B202" s="52"/>
      <c r="C202" s="58"/>
      <c r="D202" s="55"/>
      <c r="E202" s="32"/>
      <c r="F202" s="31"/>
      <c r="G202" s="31"/>
      <c r="H202" s="32"/>
      <c r="I202" s="32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31"/>
      <c r="AB202" s="31"/>
    </row>
    <row r="203" spans="1:28" ht="13.2" x14ac:dyDescent="0.25">
      <c r="A203" s="31"/>
      <c r="B203" s="52"/>
      <c r="C203" s="58"/>
      <c r="D203" s="55"/>
      <c r="E203" s="32"/>
      <c r="F203" s="31"/>
      <c r="G203" s="31"/>
      <c r="H203" s="32"/>
      <c r="I203" s="32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31"/>
      <c r="AB203" s="31"/>
    </row>
    <row r="204" spans="1:28" ht="13.2" x14ac:dyDescent="0.25">
      <c r="A204" s="31"/>
      <c r="B204" s="52"/>
      <c r="C204" s="58"/>
      <c r="D204" s="55"/>
      <c r="E204" s="32"/>
      <c r="F204" s="31"/>
      <c r="G204" s="31"/>
      <c r="H204" s="32"/>
      <c r="I204" s="32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31"/>
      <c r="AB204" s="31"/>
    </row>
    <row r="205" spans="1:28" ht="13.2" x14ac:dyDescent="0.25">
      <c r="A205" s="31"/>
      <c r="B205" s="52"/>
      <c r="C205" s="58"/>
      <c r="D205" s="55"/>
      <c r="E205" s="32"/>
      <c r="F205" s="31"/>
      <c r="G205" s="31"/>
      <c r="H205" s="32"/>
      <c r="I205" s="32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31"/>
      <c r="AB205" s="31"/>
    </row>
    <row r="206" spans="1:28" ht="13.2" x14ac:dyDescent="0.25">
      <c r="A206" s="31"/>
      <c r="B206" s="52"/>
      <c r="C206" s="58"/>
      <c r="D206" s="55"/>
      <c r="E206" s="32"/>
      <c r="F206" s="31"/>
      <c r="G206" s="31"/>
      <c r="H206" s="32"/>
      <c r="I206" s="32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31"/>
      <c r="AB206" s="31"/>
    </row>
    <row r="207" spans="1:28" ht="13.2" x14ac:dyDescent="0.25">
      <c r="A207" s="31"/>
      <c r="B207" s="52"/>
      <c r="C207" s="58"/>
      <c r="D207" s="55"/>
      <c r="E207" s="32"/>
      <c r="F207" s="31"/>
      <c r="G207" s="31"/>
      <c r="H207" s="32"/>
      <c r="I207" s="32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31"/>
      <c r="AB207" s="31"/>
    </row>
    <row r="208" spans="1:28" ht="13.2" x14ac:dyDescent="0.25">
      <c r="A208" s="31"/>
      <c r="B208" s="52"/>
      <c r="C208" s="58"/>
      <c r="D208" s="55"/>
      <c r="E208" s="32"/>
      <c r="F208" s="31"/>
      <c r="G208" s="31"/>
      <c r="H208" s="32"/>
      <c r="I208" s="32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31"/>
      <c r="AB208" s="31"/>
    </row>
    <row r="209" spans="1:28" ht="13.2" x14ac:dyDescent="0.25">
      <c r="A209" s="31"/>
      <c r="B209" s="52"/>
      <c r="C209" s="58"/>
      <c r="D209" s="55"/>
      <c r="E209" s="32"/>
      <c r="F209" s="31"/>
      <c r="G209" s="31"/>
      <c r="H209" s="32"/>
      <c r="I209" s="32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31"/>
      <c r="AB209" s="31"/>
    </row>
    <row r="210" spans="1:28" ht="13.2" x14ac:dyDescent="0.25">
      <c r="A210" s="31"/>
      <c r="B210" s="52"/>
      <c r="C210" s="58"/>
      <c r="D210" s="55"/>
      <c r="E210" s="32"/>
      <c r="F210" s="31"/>
      <c r="G210" s="31"/>
      <c r="H210" s="32"/>
      <c r="I210" s="32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31"/>
      <c r="AB210" s="31"/>
    </row>
    <row r="211" spans="1:28" ht="13.2" x14ac:dyDescent="0.25">
      <c r="A211" s="31"/>
      <c r="B211" s="52"/>
      <c r="C211" s="58"/>
      <c r="D211" s="55"/>
      <c r="E211" s="32"/>
      <c r="F211" s="31"/>
      <c r="G211" s="31"/>
      <c r="H211" s="32"/>
      <c r="I211" s="32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31"/>
      <c r="AB211" s="31"/>
    </row>
    <row r="212" spans="1:28" ht="13.2" x14ac:dyDescent="0.25">
      <c r="A212" s="31"/>
      <c r="B212" s="52"/>
      <c r="C212" s="58"/>
      <c r="D212" s="55"/>
      <c r="E212" s="32"/>
      <c r="F212" s="31"/>
      <c r="G212" s="31"/>
      <c r="H212" s="32"/>
      <c r="I212" s="32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31"/>
      <c r="AB212" s="31"/>
    </row>
    <row r="213" spans="1:28" ht="13.2" x14ac:dyDescent="0.25">
      <c r="A213" s="31"/>
      <c r="B213" s="52"/>
      <c r="C213" s="58"/>
      <c r="D213" s="55"/>
      <c r="E213" s="32"/>
      <c r="F213" s="31"/>
      <c r="G213" s="31"/>
      <c r="H213" s="32"/>
      <c r="I213" s="32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31"/>
      <c r="AB213" s="31"/>
    </row>
    <row r="214" spans="1:28" ht="13.2" x14ac:dyDescent="0.25">
      <c r="A214" s="31"/>
      <c r="B214" s="52"/>
      <c r="C214" s="58"/>
      <c r="D214" s="55"/>
      <c r="E214" s="32"/>
      <c r="F214" s="31"/>
      <c r="G214" s="31"/>
      <c r="H214" s="32"/>
      <c r="I214" s="32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31"/>
      <c r="AB214" s="31"/>
    </row>
    <row r="215" spans="1:28" ht="13.2" x14ac:dyDescent="0.25">
      <c r="A215" s="31"/>
      <c r="B215" s="52"/>
      <c r="C215" s="58"/>
      <c r="D215" s="55"/>
      <c r="E215" s="32"/>
      <c r="F215" s="31"/>
      <c r="G215" s="31"/>
      <c r="H215" s="32"/>
      <c r="I215" s="32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31"/>
      <c r="AB215" s="31"/>
    </row>
    <row r="216" spans="1:28" ht="13.2" x14ac:dyDescent="0.25">
      <c r="A216" s="31"/>
      <c r="B216" s="52"/>
      <c r="C216" s="58"/>
      <c r="D216" s="55"/>
      <c r="E216" s="32"/>
      <c r="F216" s="31"/>
      <c r="G216" s="31"/>
      <c r="H216" s="32"/>
      <c r="I216" s="32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31"/>
      <c r="AB216" s="31"/>
    </row>
    <row r="217" spans="1:28" ht="13.2" x14ac:dyDescent="0.25">
      <c r="A217" s="31"/>
      <c r="B217" s="52"/>
      <c r="C217" s="58"/>
      <c r="D217" s="55"/>
      <c r="E217" s="32"/>
      <c r="F217" s="31"/>
      <c r="G217" s="31"/>
      <c r="H217" s="32"/>
      <c r="I217" s="32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31"/>
      <c r="AB217" s="31"/>
    </row>
    <row r="218" spans="1:28" ht="13.2" x14ac:dyDescent="0.25">
      <c r="A218" s="31"/>
      <c r="B218" s="52"/>
      <c r="C218" s="58"/>
      <c r="D218" s="55"/>
      <c r="E218" s="32"/>
      <c r="F218" s="31"/>
      <c r="G218" s="31"/>
      <c r="H218" s="32"/>
      <c r="I218" s="32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31"/>
      <c r="AB218" s="31"/>
    </row>
    <row r="219" spans="1:28" ht="13.2" x14ac:dyDescent="0.25">
      <c r="A219" s="31"/>
      <c r="B219" s="52"/>
      <c r="C219" s="58"/>
      <c r="D219" s="55"/>
      <c r="E219" s="32"/>
      <c r="F219" s="31"/>
      <c r="G219" s="31"/>
      <c r="H219" s="32"/>
      <c r="I219" s="32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31"/>
      <c r="AB219" s="31"/>
    </row>
    <row r="220" spans="1:28" ht="13.2" x14ac:dyDescent="0.25">
      <c r="A220" s="31"/>
      <c r="B220" s="52"/>
      <c r="C220" s="58"/>
      <c r="D220" s="55"/>
      <c r="E220" s="32"/>
      <c r="F220" s="31"/>
      <c r="G220" s="31"/>
      <c r="H220" s="32"/>
      <c r="I220" s="32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31"/>
      <c r="AB220" s="31"/>
    </row>
    <row r="221" spans="1:28" ht="13.2" x14ac:dyDescent="0.25">
      <c r="A221" s="31"/>
      <c r="B221" s="52"/>
      <c r="C221" s="58"/>
      <c r="D221" s="55"/>
      <c r="E221" s="32"/>
      <c r="F221" s="31"/>
      <c r="G221" s="31"/>
      <c r="H221" s="32"/>
      <c r="I221" s="32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31"/>
      <c r="AB221" s="31"/>
    </row>
    <row r="222" spans="1:28" ht="13.2" x14ac:dyDescent="0.25">
      <c r="A222" s="31"/>
      <c r="B222" s="52"/>
      <c r="C222" s="58"/>
      <c r="D222" s="55"/>
      <c r="E222" s="32"/>
      <c r="F222" s="31"/>
      <c r="G222" s="31"/>
      <c r="H222" s="32"/>
      <c r="I222" s="32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31"/>
      <c r="AB222" s="31"/>
    </row>
    <row r="223" spans="1:28" ht="13.2" x14ac:dyDescent="0.25">
      <c r="A223" s="31"/>
      <c r="B223" s="52"/>
      <c r="C223" s="58"/>
      <c r="D223" s="55"/>
      <c r="E223" s="32"/>
      <c r="F223" s="31"/>
      <c r="G223" s="31"/>
      <c r="H223" s="32"/>
      <c r="I223" s="32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31"/>
      <c r="AB223" s="31"/>
    </row>
    <row r="224" spans="1:28" ht="13.2" x14ac:dyDescent="0.25">
      <c r="A224" s="31"/>
      <c r="B224" s="52"/>
      <c r="C224" s="58"/>
      <c r="D224" s="55"/>
      <c r="E224" s="32"/>
      <c r="F224" s="31"/>
      <c r="G224" s="31"/>
      <c r="H224" s="32"/>
      <c r="I224" s="32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31"/>
      <c r="AB224" s="31"/>
    </row>
    <row r="225" spans="1:28" ht="13.2" x14ac:dyDescent="0.25">
      <c r="A225" s="31"/>
      <c r="B225" s="52"/>
      <c r="C225" s="58"/>
      <c r="D225" s="55"/>
      <c r="E225" s="32"/>
      <c r="F225" s="31"/>
      <c r="G225" s="31"/>
      <c r="H225" s="32"/>
      <c r="I225" s="32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31"/>
      <c r="AB225" s="31"/>
    </row>
    <row r="226" spans="1:28" ht="13.2" x14ac:dyDescent="0.25">
      <c r="A226" s="31"/>
      <c r="B226" s="52"/>
      <c r="C226" s="58"/>
      <c r="D226" s="55"/>
      <c r="E226" s="32"/>
      <c r="F226" s="31"/>
      <c r="G226" s="31"/>
      <c r="H226" s="32"/>
      <c r="I226" s="32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31"/>
      <c r="AB226" s="31"/>
    </row>
    <row r="227" spans="1:28" ht="13.2" x14ac:dyDescent="0.25">
      <c r="A227" s="31"/>
      <c r="B227" s="52"/>
      <c r="C227" s="58"/>
      <c r="D227" s="55"/>
      <c r="E227" s="32"/>
      <c r="F227" s="31"/>
      <c r="G227" s="31"/>
      <c r="H227" s="32"/>
      <c r="I227" s="32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31"/>
      <c r="AB227" s="31"/>
    </row>
    <row r="228" spans="1:28" ht="13.2" x14ac:dyDescent="0.25">
      <c r="A228" s="31"/>
      <c r="B228" s="52"/>
      <c r="C228" s="58"/>
      <c r="D228" s="55"/>
      <c r="E228" s="32"/>
      <c r="F228" s="31"/>
      <c r="G228" s="31"/>
      <c r="H228" s="32"/>
      <c r="I228" s="32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31"/>
      <c r="AB228" s="31"/>
    </row>
    <row r="229" spans="1:28" ht="13.2" x14ac:dyDescent="0.25">
      <c r="A229" s="31"/>
      <c r="B229" s="52"/>
      <c r="C229" s="58"/>
      <c r="D229" s="55"/>
      <c r="E229" s="32"/>
      <c r="F229" s="31"/>
      <c r="G229" s="31"/>
      <c r="H229" s="32"/>
      <c r="I229" s="32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31"/>
      <c r="AB229" s="31"/>
    </row>
    <row r="230" spans="1:28" ht="13.2" x14ac:dyDescent="0.25">
      <c r="A230" s="31"/>
      <c r="B230" s="52"/>
      <c r="C230" s="58"/>
      <c r="D230" s="55"/>
      <c r="E230" s="32"/>
      <c r="F230" s="31"/>
      <c r="G230" s="31"/>
      <c r="H230" s="32"/>
      <c r="I230" s="32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31"/>
      <c r="AB230" s="31"/>
    </row>
    <row r="231" spans="1:28" ht="13.2" x14ac:dyDescent="0.25">
      <c r="A231" s="31"/>
      <c r="B231" s="52"/>
      <c r="C231" s="58"/>
      <c r="D231" s="55"/>
      <c r="E231" s="32"/>
      <c r="F231" s="31"/>
      <c r="G231" s="31"/>
      <c r="H231" s="32"/>
      <c r="I231" s="32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31"/>
      <c r="AB231" s="31"/>
    </row>
    <row r="232" spans="1:28" ht="13.2" x14ac:dyDescent="0.25">
      <c r="A232" s="31"/>
      <c r="B232" s="52"/>
      <c r="C232" s="58"/>
      <c r="D232" s="55"/>
      <c r="E232" s="32"/>
      <c r="F232" s="31"/>
      <c r="G232" s="31"/>
      <c r="H232" s="32"/>
      <c r="I232" s="32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31"/>
      <c r="AB232" s="31"/>
    </row>
    <row r="233" spans="1:28" ht="13.2" x14ac:dyDescent="0.25">
      <c r="A233" s="31"/>
      <c r="B233" s="52"/>
      <c r="C233" s="58"/>
      <c r="D233" s="55"/>
      <c r="E233" s="32"/>
      <c r="F233" s="31"/>
      <c r="G233" s="31"/>
      <c r="H233" s="32"/>
      <c r="I233" s="32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31"/>
      <c r="AB233" s="31"/>
    </row>
    <row r="234" spans="1:28" ht="13.2" x14ac:dyDescent="0.25">
      <c r="A234" s="31"/>
      <c r="B234" s="52"/>
      <c r="C234" s="58"/>
      <c r="D234" s="55"/>
      <c r="E234" s="32"/>
      <c r="F234" s="31"/>
      <c r="G234" s="31"/>
      <c r="H234" s="32"/>
      <c r="I234" s="32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31"/>
      <c r="AB234" s="31"/>
    </row>
    <row r="235" spans="1:28" ht="13.2" x14ac:dyDescent="0.25">
      <c r="A235" s="31"/>
      <c r="B235" s="52"/>
      <c r="C235" s="58"/>
      <c r="D235" s="55"/>
      <c r="E235" s="32"/>
      <c r="F235" s="31"/>
      <c r="G235" s="31"/>
      <c r="H235" s="32"/>
      <c r="I235" s="32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31"/>
      <c r="AB235" s="31"/>
    </row>
    <row r="236" spans="1:28" ht="13.2" x14ac:dyDescent="0.25">
      <c r="A236" s="31"/>
      <c r="B236" s="52"/>
      <c r="C236" s="58"/>
      <c r="D236" s="55"/>
      <c r="E236" s="32"/>
      <c r="F236" s="31"/>
      <c r="G236" s="31"/>
      <c r="H236" s="32"/>
      <c r="I236" s="32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31"/>
      <c r="AB236" s="31"/>
    </row>
    <row r="237" spans="1:28" ht="13.2" x14ac:dyDescent="0.25">
      <c r="A237" s="31"/>
      <c r="B237" s="52"/>
      <c r="C237" s="58"/>
      <c r="D237" s="55"/>
      <c r="E237" s="32"/>
      <c r="F237" s="31"/>
      <c r="G237" s="31"/>
      <c r="H237" s="32"/>
      <c r="I237" s="32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31"/>
      <c r="AB237" s="31"/>
    </row>
    <row r="238" spans="1:28" ht="13.2" x14ac:dyDescent="0.25">
      <c r="A238" s="31"/>
      <c r="B238" s="52"/>
      <c r="C238" s="58"/>
      <c r="D238" s="55"/>
      <c r="E238" s="32"/>
      <c r="F238" s="31"/>
      <c r="G238" s="31"/>
      <c r="H238" s="32"/>
      <c r="I238" s="32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31"/>
      <c r="AB238" s="31"/>
    </row>
    <row r="239" spans="1:28" ht="13.2" x14ac:dyDescent="0.25">
      <c r="A239" s="31"/>
      <c r="B239" s="52"/>
      <c r="C239" s="58"/>
      <c r="D239" s="55"/>
      <c r="E239" s="32"/>
      <c r="F239" s="31"/>
      <c r="G239" s="31"/>
      <c r="H239" s="32"/>
      <c r="I239" s="32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31"/>
      <c r="AB239" s="31"/>
    </row>
    <row r="240" spans="1:28" ht="13.2" x14ac:dyDescent="0.25">
      <c r="A240" s="31"/>
      <c r="B240" s="52"/>
      <c r="C240" s="58"/>
      <c r="D240" s="55"/>
      <c r="E240" s="32"/>
      <c r="F240" s="31"/>
      <c r="G240" s="31"/>
      <c r="H240" s="32"/>
      <c r="I240" s="32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31"/>
      <c r="AB240" s="31"/>
    </row>
    <row r="241" spans="1:28" ht="13.2" x14ac:dyDescent="0.25">
      <c r="A241" s="31"/>
      <c r="B241" s="52"/>
      <c r="C241" s="58"/>
      <c r="D241" s="55"/>
      <c r="E241" s="32"/>
      <c r="F241" s="31"/>
      <c r="G241" s="31"/>
      <c r="H241" s="32"/>
      <c r="I241" s="32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31"/>
      <c r="AB241" s="31"/>
    </row>
    <row r="242" spans="1:28" ht="13.2" x14ac:dyDescent="0.25">
      <c r="A242" s="31"/>
      <c r="B242" s="52"/>
      <c r="C242" s="58"/>
      <c r="D242" s="55"/>
      <c r="E242" s="32"/>
      <c r="F242" s="31"/>
      <c r="G242" s="31"/>
      <c r="H242" s="32"/>
      <c r="I242" s="32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31"/>
      <c r="AB242" s="31"/>
    </row>
    <row r="243" spans="1:28" ht="13.2" x14ac:dyDescent="0.25">
      <c r="A243" s="31"/>
      <c r="B243" s="52"/>
      <c r="C243" s="58"/>
      <c r="D243" s="55"/>
      <c r="E243" s="32"/>
      <c r="F243" s="31"/>
      <c r="G243" s="31"/>
      <c r="H243" s="32"/>
      <c r="I243" s="32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31"/>
      <c r="AB243" s="31"/>
    </row>
    <row r="244" spans="1:28" ht="13.2" x14ac:dyDescent="0.25">
      <c r="A244" s="31"/>
      <c r="B244" s="52"/>
      <c r="C244" s="58"/>
      <c r="D244" s="55"/>
      <c r="E244" s="32"/>
      <c r="F244" s="31"/>
      <c r="G244" s="31"/>
      <c r="H244" s="32"/>
      <c r="I244" s="32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31"/>
      <c r="AB244" s="31"/>
    </row>
    <row r="245" spans="1:28" ht="13.2" x14ac:dyDescent="0.25">
      <c r="A245" s="31"/>
      <c r="B245" s="52"/>
      <c r="C245" s="58"/>
      <c r="D245" s="55"/>
      <c r="E245" s="32"/>
      <c r="F245" s="31"/>
      <c r="G245" s="31"/>
      <c r="H245" s="32"/>
      <c r="I245" s="32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31"/>
      <c r="AB245" s="31"/>
    </row>
    <row r="246" spans="1:28" ht="13.2" x14ac:dyDescent="0.25">
      <c r="A246" s="31"/>
      <c r="B246" s="52"/>
      <c r="C246" s="58"/>
      <c r="D246" s="55"/>
      <c r="E246" s="32"/>
      <c r="F246" s="31"/>
      <c r="G246" s="31"/>
      <c r="H246" s="32"/>
      <c r="I246" s="32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31"/>
      <c r="AB246" s="31"/>
    </row>
    <row r="247" spans="1:28" ht="13.2" x14ac:dyDescent="0.25">
      <c r="A247" s="31"/>
      <c r="B247" s="52"/>
      <c r="C247" s="58"/>
      <c r="D247" s="55"/>
      <c r="E247" s="32"/>
      <c r="F247" s="31"/>
      <c r="G247" s="31"/>
      <c r="H247" s="32"/>
      <c r="I247" s="32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31"/>
      <c r="AB247" s="31"/>
    </row>
    <row r="248" spans="1:28" ht="13.2" x14ac:dyDescent="0.25">
      <c r="A248" s="31"/>
      <c r="B248" s="52"/>
      <c r="C248" s="58"/>
      <c r="D248" s="55"/>
      <c r="E248" s="32"/>
      <c r="F248" s="31"/>
      <c r="G248" s="31"/>
      <c r="H248" s="32"/>
      <c r="I248" s="32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31"/>
      <c r="AB248" s="31"/>
    </row>
    <row r="249" spans="1:28" ht="13.2" x14ac:dyDescent="0.25">
      <c r="A249" s="31"/>
      <c r="B249" s="52"/>
      <c r="C249" s="58"/>
      <c r="D249" s="55"/>
      <c r="E249" s="32"/>
      <c r="F249" s="31"/>
      <c r="G249" s="31"/>
      <c r="H249" s="32"/>
      <c r="I249" s="32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31"/>
      <c r="AB249" s="31"/>
    </row>
    <row r="250" spans="1:28" ht="13.2" x14ac:dyDescent="0.25">
      <c r="A250" s="31"/>
      <c r="B250" s="52"/>
      <c r="C250" s="58"/>
      <c r="D250" s="55"/>
      <c r="E250" s="32"/>
      <c r="F250" s="31"/>
      <c r="G250" s="31"/>
      <c r="H250" s="32"/>
      <c r="I250" s="32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31"/>
      <c r="AB250" s="31"/>
    </row>
    <row r="251" spans="1:28" ht="13.2" x14ac:dyDescent="0.25">
      <c r="A251" s="31"/>
      <c r="B251" s="52"/>
      <c r="C251" s="58"/>
      <c r="D251" s="55"/>
      <c r="E251" s="32"/>
      <c r="F251" s="31"/>
      <c r="G251" s="31"/>
      <c r="H251" s="32"/>
      <c r="I251" s="32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31"/>
      <c r="AB251" s="31"/>
    </row>
    <row r="252" spans="1:28" ht="13.2" x14ac:dyDescent="0.25">
      <c r="A252" s="31"/>
      <c r="B252" s="52"/>
      <c r="C252" s="58"/>
      <c r="D252" s="55"/>
      <c r="E252" s="32"/>
      <c r="F252" s="31"/>
      <c r="G252" s="31"/>
      <c r="H252" s="32"/>
      <c r="I252" s="32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31"/>
      <c r="AB252" s="31"/>
    </row>
    <row r="253" spans="1:28" ht="13.2" x14ac:dyDescent="0.25">
      <c r="A253" s="31"/>
      <c r="B253" s="52"/>
      <c r="C253" s="58"/>
      <c r="D253" s="55"/>
      <c r="E253" s="32"/>
      <c r="F253" s="31"/>
      <c r="G253" s="31"/>
      <c r="H253" s="32"/>
      <c r="I253" s="32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31"/>
      <c r="AB253" s="31"/>
    </row>
    <row r="254" spans="1:28" ht="13.2" x14ac:dyDescent="0.25">
      <c r="A254" s="31"/>
      <c r="B254" s="52"/>
      <c r="C254" s="58"/>
      <c r="D254" s="55"/>
      <c r="E254" s="32"/>
      <c r="F254" s="31"/>
      <c r="G254" s="31"/>
      <c r="H254" s="32"/>
      <c r="I254" s="32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31"/>
      <c r="AB254" s="31"/>
    </row>
    <row r="255" spans="1:28" ht="13.2" x14ac:dyDescent="0.25">
      <c r="A255" s="31"/>
      <c r="B255" s="52"/>
      <c r="C255" s="58"/>
      <c r="D255" s="55"/>
      <c r="E255" s="32"/>
      <c r="F255" s="31"/>
      <c r="G255" s="31"/>
      <c r="H255" s="32"/>
      <c r="I255" s="32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31"/>
      <c r="AB255" s="31"/>
    </row>
    <row r="256" spans="1:28" ht="13.2" x14ac:dyDescent="0.25">
      <c r="A256" s="31"/>
      <c r="B256" s="52"/>
      <c r="C256" s="58"/>
      <c r="D256" s="55"/>
      <c r="E256" s="32"/>
      <c r="F256" s="31"/>
      <c r="G256" s="31"/>
      <c r="H256" s="32"/>
      <c r="I256" s="32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31"/>
      <c r="AB256" s="31"/>
    </row>
    <row r="257" spans="1:28" ht="13.2" x14ac:dyDescent="0.25">
      <c r="A257" s="31"/>
      <c r="B257" s="52"/>
      <c r="C257" s="58"/>
      <c r="D257" s="55"/>
      <c r="E257" s="32"/>
      <c r="F257" s="31"/>
      <c r="G257" s="31"/>
      <c r="H257" s="32"/>
      <c r="I257" s="32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31"/>
      <c r="AB257" s="31"/>
    </row>
    <row r="258" spans="1:28" ht="13.2" x14ac:dyDescent="0.25">
      <c r="A258" s="31"/>
      <c r="B258" s="52"/>
      <c r="C258" s="58"/>
      <c r="D258" s="55"/>
      <c r="E258" s="32"/>
      <c r="F258" s="31"/>
      <c r="G258" s="31"/>
      <c r="H258" s="32"/>
      <c r="I258" s="32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31"/>
      <c r="AB258" s="31"/>
    </row>
    <row r="259" spans="1:28" ht="13.2" x14ac:dyDescent="0.25">
      <c r="A259" s="31"/>
      <c r="B259" s="52"/>
      <c r="C259" s="58"/>
      <c r="D259" s="55"/>
      <c r="E259" s="32"/>
      <c r="F259" s="31"/>
      <c r="G259" s="31"/>
      <c r="H259" s="32"/>
      <c r="I259" s="32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31"/>
      <c r="AB259" s="31"/>
    </row>
    <row r="260" spans="1:28" ht="13.2" x14ac:dyDescent="0.25">
      <c r="A260" s="31"/>
      <c r="B260" s="52"/>
      <c r="C260" s="58"/>
      <c r="D260" s="55"/>
      <c r="E260" s="32"/>
      <c r="F260" s="31"/>
      <c r="G260" s="31"/>
      <c r="H260" s="32"/>
      <c r="I260" s="32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31"/>
      <c r="AB260" s="31"/>
    </row>
    <row r="261" spans="1:28" ht="13.2" x14ac:dyDescent="0.25">
      <c r="A261" s="31"/>
      <c r="B261" s="52"/>
      <c r="C261" s="58"/>
      <c r="D261" s="55"/>
      <c r="E261" s="32"/>
      <c r="F261" s="31"/>
      <c r="G261" s="31"/>
      <c r="H261" s="32"/>
      <c r="I261" s="32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31"/>
      <c r="AB261" s="31"/>
    </row>
    <row r="262" spans="1:28" ht="13.2" x14ac:dyDescent="0.25">
      <c r="A262" s="31"/>
      <c r="B262" s="52"/>
      <c r="C262" s="58"/>
      <c r="D262" s="55"/>
      <c r="E262" s="32"/>
      <c r="F262" s="31"/>
      <c r="G262" s="31"/>
      <c r="H262" s="32"/>
      <c r="I262" s="32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31"/>
      <c r="AB262" s="31"/>
    </row>
    <row r="263" spans="1:28" ht="13.2" x14ac:dyDescent="0.25">
      <c r="A263" s="31"/>
      <c r="B263" s="52"/>
      <c r="C263" s="58"/>
      <c r="D263" s="55"/>
      <c r="E263" s="32"/>
      <c r="F263" s="31"/>
      <c r="G263" s="31"/>
      <c r="H263" s="32"/>
      <c r="I263" s="32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31"/>
      <c r="AB263" s="31"/>
    </row>
    <row r="264" spans="1:28" ht="13.2" x14ac:dyDescent="0.25">
      <c r="A264" s="31"/>
      <c r="B264" s="52"/>
      <c r="C264" s="58"/>
      <c r="D264" s="55"/>
      <c r="E264" s="32"/>
      <c r="F264" s="31"/>
      <c r="G264" s="31"/>
      <c r="H264" s="32"/>
      <c r="I264" s="32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31"/>
      <c r="AB264" s="31"/>
    </row>
    <row r="265" spans="1:28" ht="13.2" x14ac:dyDescent="0.25">
      <c r="A265" s="31"/>
      <c r="B265" s="52"/>
      <c r="C265" s="58"/>
      <c r="D265" s="55"/>
      <c r="E265" s="32"/>
      <c r="F265" s="31"/>
      <c r="G265" s="31"/>
      <c r="H265" s="32"/>
      <c r="I265" s="32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31"/>
      <c r="AB265" s="31"/>
    </row>
    <row r="266" spans="1:28" ht="13.2" x14ac:dyDescent="0.25">
      <c r="A266" s="31"/>
      <c r="B266" s="52"/>
      <c r="C266" s="58"/>
      <c r="D266" s="55"/>
      <c r="E266" s="32"/>
      <c r="F266" s="31"/>
      <c r="G266" s="31"/>
      <c r="H266" s="32"/>
      <c r="I266" s="32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31"/>
      <c r="AB266" s="31"/>
    </row>
    <row r="267" spans="1:28" ht="13.2" x14ac:dyDescent="0.25">
      <c r="A267" s="31"/>
      <c r="B267" s="52"/>
      <c r="C267" s="58"/>
      <c r="D267" s="55"/>
      <c r="E267" s="32"/>
      <c r="F267" s="31"/>
      <c r="G267" s="31"/>
      <c r="H267" s="32"/>
      <c r="I267" s="32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31"/>
      <c r="AB267" s="31"/>
    </row>
    <row r="268" spans="1:28" ht="13.2" x14ac:dyDescent="0.25">
      <c r="A268" s="31"/>
      <c r="B268" s="52"/>
      <c r="C268" s="58"/>
      <c r="D268" s="55"/>
      <c r="E268" s="32"/>
      <c r="F268" s="31"/>
      <c r="G268" s="31"/>
      <c r="H268" s="32"/>
      <c r="I268" s="32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31"/>
      <c r="AB268" s="31"/>
    </row>
    <row r="269" spans="1:28" ht="13.2" x14ac:dyDescent="0.25">
      <c r="A269" s="31"/>
      <c r="B269" s="52"/>
      <c r="C269" s="58"/>
      <c r="D269" s="55"/>
      <c r="E269" s="32"/>
      <c r="F269" s="31"/>
      <c r="G269" s="31"/>
      <c r="H269" s="32"/>
      <c r="I269" s="32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31"/>
      <c r="AB269" s="31"/>
    </row>
    <row r="270" spans="1:28" ht="13.2" x14ac:dyDescent="0.25">
      <c r="A270" s="31"/>
      <c r="B270" s="52"/>
      <c r="C270" s="58"/>
      <c r="D270" s="55"/>
      <c r="E270" s="32"/>
      <c r="F270" s="31"/>
      <c r="G270" s="31"/>
      <c r="H270" s="32"/>
      <c r="I270" s="32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31"/>
      <c r="AB270" s="31"/>
    </row>
    <row r="271" spans="1:28" ht="13.2" x14ac:dyDescent="0.25">
      <c r="A271" s="31"/>
      <c r="B271" s="52"/>
      <c r="C271" s="58"/>
      <c r="D271" s="55"/>
      <c r="E271" s="32"/>
      <c r="F271" s="31"/>
      <c r="G271" s="31"/>
      <c r="H271" s="32"/>
      <c r="I271" s="32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31"/>
      <c r="AB271" s="31"/>
    </row>
    <row r="272" spans="1:28" ht="13.2" x14ac:dyDescent="0.25">
      <c r="A272" s="31"/>
      <c r="B272" s="52"/>
      <c r="C272" s="58"/>
      <c r="D272" s="55"/>
      <c r="E272" s="32"/>
      <c r="F272" s="31"/>
      <c r="G272" s="31"/>
      <c r="H272" s="32"/>
      <c r="I272" s="32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31"/>
      <c r="AB272" s="31"/>
    </row>
    <row r="273" spans="1:28" ht="13.2" x14ac:dyDescent="0.25">
      <c r="A273" s="31"/>
      <c r="B273" s="52"/>
      <c r="C273" s="58"/>
      <c r="D273" s="55"/>
      <c r="E273" s="32"/>
      <c r="F273" s="31"/>
      <c r="G273" s="31"/>
      <c r="H273" s="32"/>
      <c r="I273" s="32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31"/>
      <c r="AB273" s="31"/>
    </row>
    <row r="274" spans="1:28" ht="13.2" x14ac:dyDescent="0.25">
      <c r="A274" s="31"/>
      <c r="B274" s="52"/>
      <c r="C274" s="58"/>
      <c r="D274" s="55"/>
      <c r="E274" s="32"/>
      <c r="F274" s="31"/>
      <c r="G274" s="31"/>
      <c r="H274" s="32"/>
      <c r="I274" s="32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31"/>
      <c r="AB274" s="31"/>
    </row>
    <row r="275" spans="1:28" ht="13.2" x14ac:dyDescent="0.25">
      <c r="A275" s="31"/>
      <c r="B275" s="52"/>
      <c r="C275" s="58"/>
      <c r="D275" s="55"/>
      <c r="E275" s="32"/>
      <c r="F275" s="31"/>
      <c r="G275" s="31"/>
      <c r="H275" s="32"/>
      <c r="I275" s="32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31"/>
      <c r="AB275" s="31"/>
    </row>
    <row r="276" spans="1:28" ht="13.2" x14ac:dyDescent="0.25">
      <c r="A276" s="31"/>
      <c r="B276" s="52"/>
      <c r="C276" s="58"/>
      <c r="D276" s="55"/>
      <c r="E276" s="32"/>
      <c r="F276" s="31"/>
      <c r="G276" s="31"/>
      <c r="H276" s="32"/>
      <c r="I276" s="32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31"/>
      <c r="AB276" s="31"/>
    </row>
    <row r="277" spans="1:28" ht="13.2" x14ac:dyDescent="0.25">
      <c r="A277" s="31"/>
      <c r="B277" s="52"/>
      <c r="C277" s="58"/>
      <c r="D277" s="55"/>
      <c r="E277" s="32"/>
      <c r="F277" s="31"/>
      <c r="G277" s="31"/>
      <c r="H277" s="32"/>
      <c r="I277" s="32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31"/>
      <c r="AB277" s="31"/>
    </row>
    <row r="278" spans="1:28" ht="13.2" x14ac:dyDescent="0.25">
      <c r="A278" s="31"/>
      <c r="B278" s="52"/>
      <c r="C278" s="58"/>
      <c r="D278" s="55"/>
      <c r="E278" s="32"/>
      <c r="F278" s="31"/>
      <c r="G278" s="31"/>
      <c r="H278" s="32"/>
      <c r="I278" s="32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31"/>
      <c r="AB278" s="31"/>
    </row>
    <row r="279" spans="1:28" ht="13.2" x14ac:dyDescent="0.25">
      <c r="A279" s="31"/>
      <c r="B279" s="52"/>
      <c r="C279" s="58"/>
      <c r="D279" s="55"/>
      <c r="E279" s="32"/>
      <c r="F279" s="31"/>
      <c r="G279" s="31"/>
      <c r="H279" s="32"/>
      <c r="I279" s="32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31"/>
      <c r="AB279" s="31"/>
    </row>
    <row r="280" spans="1:28" ht="13.2" x14ac:dyDescent="0.25">
      <c r="A280" s="31"/>
      <c r="B280" s="52"/>
      <c r="C280" s="58"/>
      <c r="D280" s="55"/>
      <c r="E280" s="32"/>
      <c r="F280" s="31"/>
      <c r="G280" s="31"/>
      <c r="H280" s="32"/>
      <c r="I280" s="32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31"/>
      <c r="AB280" s="31"/>
    </row>
    <row r="281" spans="1:28" ht="13.2" x14ac:dyDescent="0.25">
      <c r="A281" s="31"/>
      <c r="B281" s="52"/>
      <c r="C281" s="58"/>
      <c r="D281" s="55"/>
      <c r="E281" s="32"/>
      <c r="F281" s="31"/>
      <c r="G281" s="31"/>
      <c r="H281" s="32"/>
      <c r="I281" s="32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31"/>
      <c r="AB281" s="31"/>
    </row>
    <row r="282" spans="1:28" ht="13.2" x14ac:dyDescent="0.25">
      <c r="A282" s="31"/>
      <c r="B282" s="52"/>
      <c r="C282" s="58"/>
      <c r="D282" s="55"/>
      <c r="E282" s="32"/>
      <c r="F282" s="31"/>
      <c r="G282" s="31"/>
      <c r="H282" s="32"/>
      <c r="I282" s="32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31"/>
      <c r="AB282" s="31"/>
    </row>
    <row r="283" spans="1:28" ht="13.2" x14ac:dyDescent="0.25">
      <c r="A283" s="31"/>
      <c r="B283" s="52"/>
      <c r="C283" s="58"/>
      <c r="D283" s="55"/>
      <c r="E283" s="32"/>
      <c r="F283" s="31"/>
      <c r="G283" s="31"/>
      <c r="H283" s="32"/>
      <c r="I283" s="32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31"/>
      <c r="AB283" s="31"/>
    </row>
    <row r="284" spans="1:28" ht="13.2" x14ac:dyDescent="0.25">
      <c r="A284" s="31"/>
      <c r="B284" s="52"/>
      <c r="C284" s="58"/>
      <c r="D284" s="55"/>
      <c r="E284" s="32"/>
      <c r="F284" s="31"/>
      <c r="G284" s="31"/>
      <c r="H284" s="32"/>
      <c r="I284" s="32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31"/>
      <c r="AB284" s="31"/>
    </row>
    <row r="285" spans="1:28" ht="13.2" x14ac:dyDescent="0.25">
      <c r="A285" s="31"/>
      <c r="B285" s="52"/>
      <c r="C285" s="58"/>
      <c r="D285" s="55"/>
      <c r="E285" s="32"/>
      <c r="F285" s="31"/>
      <c r="G285" s="31"/>
      <c r="H285" s="32"/>
      <c r="I285" s="32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31"/>
      <c r="AB285" s="31"/>
    </row>
    <row r="286" spans="1:28" ht="13.2" x14ac:dyDescent="0.25">
      <c r="A286" s="31"/>
      <c r="B286" s="52"/>
      <c r="C286" s="58"/>
      <c r="D286" s="55"/>
      <c r="E286" s="32"/>
      <c r="F286" s="31"/>
      <c r="G286" s="31"/>
      <c r="H286" s="32"/>
      <c r="I286" s="32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31"/>
      <c r="AB286" s="31"/>
    </row>
    <row r="287" spans="1:28" ht="13.2" x14ac:dyDescent="0.25">
      <c r="A287" s="31"/>
      <c r="B287" s="52"/>
      <c r="C287" s="58"/>
      <c r="D287" s="55"/>
      <c r="E287" s="32"/>
      <c r="F287" s="31"/>
      <c r="G287" s="31"/>
      <c r="H287" s="32"/>
      <c r="I287" s="32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31"/>
      <c r="AB287" s="31"/>
    </row>
    <row r="288" spans="1:28" ht="13.2" x14ac:dyDescent="0.25">
      <c r="A288" s="31"/>
      <c r="B288" s="52"/>
      <c r="C288" s="58"/>
      <c r="D288" s="55"/>
      <c r="E288" s="32"/>
      <c r="F288" s="31"/>
      <c r="G288" s="31"/>
      <c r="H288" s="32"/>
      <c r="I288" s="32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31"/>
      <c r="AB288" s="31"/>
    </row>
    <row r="289" spans="1:28" ht="13.2" x14ac:dyDescent="0.25">
      <c r="A289" s="31"/>
      <c r="B289" s="52"/>
      <c r="C289" s="58"/>
      <c r="D289" s="55"/>
      <c r="E289" s="32"/>
      <c r="F289" s="31"/>
      <c r="G289" s="31"/>
      <c r="H289" s="32"/>
      <c r="I289" s="32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31"/>
      <c r="AB289" s="31"/>
    </row>
    <row r="290" spans="1:28" ht="13.2" x14ac:dyDescent="0.25">
      <c r="A290" s="31"/>
      <c r="B290" s="52"/>
      <c r="C290" s="58"/>
      <c r="D290" s="55"/>
      <c r="E290" s="32"/>
      <c r="F290" s="31"/>
      <c r="G290" s="31"/>
      <c r="H290" s="32"/>
      <c r="I290" s="32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31"/>
      <c r="AB290" s="31"/>
    </row>
    <row r="291" spans="1:28" ht="13.2" x14ac:dyDescent="0.25">
      <c r="A291" s="31"/>
      <c r="B291" s="52"/>
      <c r="C291" s="58"/>
      <c r="D291" s="55"/>
      <c r="E291" s="32"/>
      <c r="F291" s="31"/>
      <c r="G291" s="31"/>
      <c r="H291" s="32"/>
      <c r="I291" s="32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31"/>
      <c r="AB291" s="31"/>
    </row>
    <row r="292" spans="1:28" ht="13.2" x14ac:dyDescent="0.25">
      <c r="A292" s="31"/>
      <c r="B292" s="52"/>
      <c r="C292" s="58"/>
      <c r="D292" s="55"/>
      <c r="E292" s="32"/>
      <c r="F292" s="31"/>
      <c r="G292" s="31"/>
      <c r="H292" s="32"/>
      <c r="I292" s="32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31"/>
      <c r="AB292" s="31"/>
    </row>
    <row r="293" spans="1:28" ht="13.2" x14ac:dyDescent="0.25">
      <c r="A293" s="31"/>
      <c r="B293" s="52"/>
      <c r="C293" s="58"/>
      <c r="D293" s="55"/>
      <c r="E293" s="32"/>
      <c r="F293" s="31"/>
      <c r="G293" s="31"/>
      <c r="H293" s="32"/>
      <c r="I293" s="32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31"/>
      <c r="AB293" s="31"/>
    </row>
    <row r="294" spans="1:28" ht="13.2" x14ac:dyDescent="0.25">
      <c r="A294" s="31"/>
      <c r="B294" s="52"/>
      <c r="C294" s="58"/>
      <c r="D294" s="55"/>
      <c r="E294" s="32"/>
      <c r="F294" s="31"/>
      <c r="G294" s="31"/>
      <c r="H294" s="32"/>
      <c r="I294" s="32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31"/>
      <c r="AB294" s="31"/>
    </row>
    <row r="295" spans="1:28" ht="13.2" x14ac:dyDescent="0.25">
      <c r="A295" s="31"/>
      <c r="B295" s="52"/>
      <c r="C295" s="58"/>
      <c r="D295" s="55"/>
      <c r="E295" s="32"/>
      <c r="F295" s="31"/>
      <c r="G295" s="31"/>
      <c r="H295" s="32"/>
      <c r="I295" s="32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31"/>
      <c r="AB295" s="31"/>
    </row>
    <row r="296" spans="1:28" ht="13.2" x14ac:dyDescent="0.25">
      <c r="A296" s="31"/>
      <c r="B296" s="52"/>
      <c r="C296" s="58"/>
      <c r="D296" s="55"/>
      <c r="E296" s="32"/>
      <c r="F296" s="31"/>
      <c r="G296" s="31"/>
      <c r="H296" s="32"/>
      <c r="I296" s="32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31"/>
      <c r="AB296" s="31"/>
    </row>
    <row r="297" spans="1:28" ht="13.2" x14ac:dyDescent="0.25">
      <c r="A297" s="31"/>
      <c r="B297" s="52"/>
      <c r="C297" s="58"/>
      <c r="D297" s="55"/>
      <c r="E297" s="32"/>
      <c r="F297" s="31"/>
      <c r="G297" s="31"/>
      <c r="H297" s="32"/>
      <c r="I297" s="32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31"/>
      <c r="AB297" s="31"/>
    </row>
    <row r="298" spans="1:28" ht="13.2" x14ac:dyDescent="0.25">
      <c r="A298" s="31"/>
      <c r="B298" s="52"/>
      <c r="C298" s="58"/>
      <c r="D298" s="55"/>
      <c r="E298" s="32"/>
      <c r="F298" s="31"/>
      <c r="G298" s="31"/>
      <c r="H298" s="32"/>
      <c r="I298" s="32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31"/>
      <c r="AB298" s="31"/>
    </row>
    <row r="299" spans="1:28" ht="13.2" x14ac:dyDescent="0.25">
      <c r="A299" s="31"/>
      <c r="B299" s="52"/>
      <c r="C299" s="58"/>
      <c r="D299" s="55"/>
      <c r="E299" s="32"/>
      <c r="F299" s="31"/>
      <c r="G299" s="31"/>
      <c r="H299" s="32"/>
      <c r="I299" s="32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31"/>
      <c r="AB299" s="31"/>
    </row>
    <row r="300" spans="1:28" ht="13.2" x14ac:dyDescent="0.25">
      <c r="A300" s="31"/>
      <c r="B300" s="52"/>
      <c r="C300" s="58"/>
      <c r="D300" s="55"/>
      <c r="E300" s="32"/>
      <c r="F300" s="31"/>
      <c r="G300" s="31"/>
      <c r="H300" s="32"/>
      <c r="I300" s="32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31"/>
      <c r="AB300" s="31"/>
    </row>
    <row r="301" spans="1:28" ht="13.2" x14ac:dyDescent="0.25">
      <c r="A301" s="31"/>
      <c r="B301" s="52"/>
      <c r="C301" s="58"/>
      <c r="D301" s="55"/>
      <c r="E301" s="32"/>
      <c r="F301" s="31"/>
      <c r="G301" s="31"/>
      <c r="H301" s="32"/>
      <c r="I301" s="32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31"/>
      <c r="AB301" s="31"/>
    </row>
    <row r="302" spans="1:28" ht="13.2" x14ac:dyDescent="0.25">
      <c r="A302" s="31"/>
      <c r="B302" s="52"/>
      <c r="C302" s="58"/>
      <c r="D302" s="55"/>
      <c r="E302" s="32"/>
      <c r="F302" s="31"/>
      <c r="G302" s="31"/>
      <c r="H302" s="32"/>
      <c r="I302" s="32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31"/>
      <c r="AB302" s="31"/>
    </row>
    <row r="303" spans="1:28" ht="13.2" x14ac:dyDescent="0.25">
      <c r="A303" s="31"/>
      <c r="B303" s="52"/>
      <c r="C303" s="58"/>
      <c r="D303" s="55"/>
      <c r="E303" s="32"/>
      <c r="F303" s="31"/>
      <c r="G303" s="31"/>
      <c r="H303" s="32"/>
      <c r="I303" s="32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31"/>
      <c r="AB303" s="31"/>
    </row>
    <row r="304" spans="1:28" ht="13.2" x14ac:dyDescent="0.25">
      <c r="A304" s="31"/>
      <c r="B304" s="52"/>
      <c r="C304" s="58"/>
      <c r="D304" s="55"/>
      <c r="E304" s="32"/>
      <c r="F304" s="31"/>
      <c r="G304" s="31"/>
      <c r="H304" s="32"/>
      <c r="I304" s="32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31"/>
      <c r="AB304" s="31"/>
    </row>
    <row r="305" spans="1:28" ht="13.2" x14ac:dyDescent="0.25">
      <c r="A305" s="31"/>
      <c r="B305" s="52"/>
      <c r="C305" s="58"/>
      <c r="D305" s="55"/>
      <c r="E305" s="32"/>
      <c r="F305" s="31"/>
      <c r="G305" s="31"/>
      <c r="H305" s="32"/>
      <c r="I305" s="32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31"/>
      <c r="AB305" s="31"/>
    </row>
    <row r="306" spans="1:28" ht="13.2" x14ac:dyDescent="0.25">
      <c r="A306" s="31"/>
      <c r="B306" s="52"/>
      <c r="C306" s="58"/>
      <c r="D306" s="55"/>
      <c r="E306" s="32"/>
      <c r="F306" s="31"/>
      <c r="G306" s="31"/>
      <c r="H306" s="32"/>
      <c r="I306" s="32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31"/>
      <c r="AB306" s="31"/>
    </row>
    <row r="307" spans="1:28" ht="13.2" x14ac:dyDescent="0.25">
      <c r="A307" s="31"/>
      <c r="B307" s="52"/>
      <c r="C307" s="58"/>
      <c r="D307" s="55"/>
      <c r="E307" s="32"/>
      <c r="F307" s="31"/>
      <c r="G307" s="31"/>
      <c r="H307" s="32"/>
      <c r="I307" s="32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31"/>
      <c r="AB307" s="31"/>
    </row>
    <row r="308" spans="1:28" ht="13.2" x14ac:dyDescent="0.25">
      <c r="A308" s="31"/>
      <c r="B308" s="52"/>
      <c r="C308" s="58"/>
      <c r="D308" s="55"/>
      <c r="E308" s="32"/>
      <c r="F308" s="31"/>
      <c r="G308" s="31"/>
      <c r="H308" s="32"/>
      <c r="I308" s="32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31"/>
      <c r="AB308" s="31"/>
    </row>
    <row r="309" spans="1:28" ht="13.2" x14ac:dyDescent="0.25">
      <c r="A309" s="31"/>
      <c r="B309" s="52"/>
      <c r="C309" s="58"/>
      <c r="D309" s="55"/>
      <c r="E309" s="32"/>
      <c r="F309" s="31"/>
      <c r="G309" s="31"/>
      <c r="H309" s="32"/>
      <c r="I309" s="32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31"/>
      <c r="AB309" s="31"/>
    </row>
    <row r="310" spans="1:28" ht="13.2" x14ac:dyDescent="0.25">
      <c r="A310" s="31"/>
      <c r="B310" s="52"/>
      <c r="C310" s="58"/>
      <c r="D310" s="55"/>
      <c r="E310" s="32"/>
      <c r="F310" s="31"/>
      <c r="G310" s="31"/>
      <c r="H310" s="32"/>
      <c r="I310" s="32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31"/>
      <c r="AB310" s="31"/>
    </row>
    <row r="311" spans="1:28" ht="13.2" x14ac:dyDescent="0.25">
      <c r="A311" s="31"/>
      <c r="B311" s="52"/>
      <c r="C311" s="58"/>
      <c r="D311" s="55"/>
      <c r="E311" s="32"/>
      <c r="F311" s="31"/>
      <c r="G311" s="31"/>
      <c r="H311" s="32"/>
      <c r="I311" s="32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31"/>
      <c r="AB311" s="31"/>
    </row>
    <row r="312" spans="1:28" ht="13.2" x14ac:dyDescent="0.25">
      <c r="A312" s="31"/>
      <c r="B312" s="52"/>
      <c r="C312" s="58"/>
      <c r="D312" s="55"/>
      <c r="E312" s="32"/>
      <c r="F312" s="31"/>
      <c r="G312" s="31"/>
      <c r="H312" s="32"/>
      <c r="I312" s="32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31"/>
      <c r="AB312" s="31"/>
    </row>
    <row r="313" spans="1:28" ht="13.2" x14ac:dyDescent="0.25">
      <c r="A313" s="31"/>
      <c r="B313" s="52"/>
      <c r="C313" s="58"/>
      <c r="D313" s="55"/>
      <c r="E313" s="32"/>
      <c r="F313" s="31"/>
      <c r="G313" s="31"/>
      <c r="H313" s="32"/>
      <c r="I313" s="32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31"/>
      <c r="AB313" s="31"/>
    </row>
    <row r="314" spans="1:28" ht="13.2" x14ac:dyDescent="0.25">
      <c r="A314" s="31"/>
      <c r="B314" s="52"/>
      <c r="C314" s="58"/>
      <c r="D314" s="55"/>
      <c r="E314" s="32"/>
      <c r="F314" s="31"/>
      <c r="G314" s="31"/>
      <c r="H314" s="32"/>
      <c r="I314" s="32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31"/>
      <c r="AB314" s="31"/>
    </row>
    <row r="315" spans="1:28" ht="13.2" x14ac:dyDescent="0.25">
      <c r="A315" s="31"/>
      <c r="B315" s="52"/>
      <c r="C315" s="58"/>
      <c r="D315" s="55"/>
      <c r="E315" s="32"/>
      <c r="F315" s="31"/>
      <c r="G315" s="31"/>
      <c r="H315" s="32"/>
      <c r="I315" s="32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31"/>
      <c r="AB315" s="31"/>
    </row>
    <row r="316" spans="1:28" ht="13.2" x14ac:dyDescent="0.25">
      <c r="A316" s="31"/>
      <c r="B316" s="52"/>
      <c r="C316" s="58"/>
      <c r="D316" s="55"/>
      <c r="E316" s="32"/>
      <c r="F316" s="31"/>
      <c r="G316" s="31"/>
      <c r="H316" s="32"/>
      <c r="I316" s="32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31"/>
      <c r="AB316" s="31"/>
    </row>
    <row r="317" spans="1:28" ht="13.2" x14ac:dyDescent="0.25">
      <c r="A317" s="31"/>
      <c r="B317" s="52"/>
      <c r="C317" s="58"/>
      <c r="D317" s="55"/>
      <c r="E317" s="32"/>
      <c r="F317" s="31"/>
      <c r="G317" s="31"/>
      <c r="H317" s="32"/>
      <c r="I317" s="32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31"/>
      <c r="AB317" s="31"/>
    </row>
    <row r="318" spans="1:28" ht="13.2" x14ac:dyDescent="0.25">
      <c r="A318" s="31"/>
      <c r="B318" s="52"/>
      <c r="C318" s="58"/>
      <c r="D318" s="55"/>
      <c r="E318" s="32"/>
      <c r="F318" s="31"/>
      <c r="G318" s="31"/>
      <c r="H318" s="32"/>
      <c r="I318" s="32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31"/>
      <c r="AB318" s="31"/>
    </row>
    <row r="319" spans="1:28" ht="13.2" x14ac:dyDescent="0.25">
      <c r="A319" s="31"/>
      <c r="B319" s="52"/>
      <c r="C319" s="58"/>
      <c r="D319" s="55"/>
      <c r="E319" s="32"/>
      <c r="F319" s="31"/>
      <c r="G319" s="31"/>
      <c r="H319" s="32"/>
      <c r="I319" s="32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31"/>
      <c r="AB319" s="31"/>
    </row>
    <row r="320" spans="1:28" ht="13.2" x14ac:dyDescent="0.25">
      <c r="A320" s="31"/>
      <c r="B320" s="52"/>
      <c r="C320" s="58"/>
      <c r="D320" s="55"/>
      <c r="E320" s="32"/>
      <c r="F320" s="31"/>
      <c r="G320" s="31"/>
      <c r="H320" s="32"/>
      <c r="I320" s="32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31"/>
      <c r="AB320" s="31"/>
    </row>
    <row r="321" spans="1:28" ht="13.2" x14ac:dyDescent="0.25">
      <c r="A321" s="31"/>
      <c r="B321" s="52"/>
      <c r="C321" s="58"/>
      <c r="D321" s="55"/>
      <c r="E321" s="32"/>
      <c r="F321" s="31"/>
      <c r="G321" s="31"/>
      <c r="H321" s="32"/>
      <c r="I321" s="32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31"/>
      <c r="AB321" s="31"/>
    </row>
    <row r="322" spans="1:28" ht="13.2" x14ac:dyDescent="0.25">
      <c r="A322" s="31"/>
      <c r="B322" s="52"/>
      <c r="C322" s="58"/>
      <c r="D322" s="55"/>
      <c r="E322" s="32"/>
      <c r="F322" s="31"/>
      <c r="G322" s="31"/>
      <c r="H322" s="32"/>
      <c r="I322" s="32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31"/>
      <c r="AB322" s="31"/>
    </row>
    <row r="323" spans="1:28" ht="13.2" x14ac:dyDescent="0.25">
      <c r="A323" s="31"/>
      <c r="B323" s="52"/>
      <c r="C323" s="58"/>
      <c r="D323" s="55"/>
      <c r="E323" s="32"/>
      <c r="F323" s="31"/>
      <c r="G323" s="31"/>
      <c r="H323" s="32"/>
      <c r="I323" s="32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31"/>
      <c r="AB323" s="31"/>
    </row>
    <row r="324" spans="1:28" ht="13.2" x14ac:dyDescent="0.25">
      <c r="A324" s="31"/>
      <c r="B324" s="52"/>
      <c r="C324" s="58"/>
      <c r="D324" s="55"/>
      <c r="E324" s="32"/>
      <c r="F324" s="31"/>
      <c r="G324" s="31"/>
      <c r="H324" s="32"/>
      <c r="I324" s="32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31"/>
      <c r="AB324" s="31"/>
    </row>
    <row r="325" spans="1:28" ht="13.2" x14ac:dyDescent="0.25">
      <c r="A325" s="31"/>
      <c r="B325" s="52"/>
      <c r="C325" s="58"/>
      <c r="D325" s="55"/>
      <c r="E325" s="32"/>
      <c r="F325" s="31"/>
      <c r="G325" s="31"/>
      <c r="H325" s="32"/>
      <c r="I325" s="32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31"/>
      <c r="AB325" s="31"/>
    </row>
    <row r="326" spans="1:28" ht="13.2" x14ac:dyDescent="0.25">
      <c r="A326" s="31"/>
      <c r="B326" s="52"/>
      <c r="C326" s="58"/>
      <c r="D326" s="55"/>
      <c r="E326" s="32"/>
      <c r="F326" s="31"/>
      <c r="G326" s="31"/>
      <c r="H326" s="32"/>
      <c r="I326" s="32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31"/>
      <c r="AB326" s="31"/>
    </row>
    <row r="327" spans="1:28" ht="13.2" x14ac:dyDescent="0.25">
      <c r="A327" s="31"/>
      <c r="B327" s="52"/>
      <c r="C327" s="58"/>
      <c r="D327" s="55"/>
      <c r="E327" s="32"/>
      <c r="F327" s="31"/>
      <c r="G327" s="31"/>
      <c r="H327" s="32"/>
      <c r="I327" s="32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31"/>
      <c r="AB327" s="31"/>
    </row>
    <row r="328" spans="1:28" ht="13.2" x14ac:dyDescent="0.25">
      <c r="A328" s="31"/>
      <c r="B328" s="52"/>
      <c r="C328" s="58"/>
      <c r="D328" s="55"/>
      <c r="E328" s="32"/>
      <c r="F328" s="31"/>
      <c r="G328" s="31"/>
      <c r="H328" s="32"/>
      <c r="I328" s="32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31"/>
      <c r="AB328" s="31"/>
    </row>
    <row r="329" spans="1:28" ht="13.2" x14ac:dyDescent="0.25">
      <c r="A329" s="31"/>
      <c r="B329" s="52"/>
      <c r="C329" s="58"/>
      <c r="D329" s="55"/>
      <c r="E329" s="32"/>
      <c r="F329" s="31"/>
      <c r="G329" s="31"/>
      <c r="H329" s="32"/>
      <c r="I329" s="32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31"/>
      <c r="AB329" s="31"/>
    </row>
    <row r="330" spans="1:28" ht="13.2" x14ac:dyDescent="0.25">
      <c r="A330" s="31"/>
      <c r="B330" s="52"/>
      <c r="C330" s="58"/>
      <c r="D330" s="55"/>
      <c r="E330" s="32"/>
      <c r="F330" s="31"/>
      <c r="G330" s="31"/>
      <c r="H330" s="32"/>
      <c r="I330" s="32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31"/>
      <c r="AB330" s="31"/>
    </row>
    <row r="331" spans="1:28" ht="13.2" x14ac:dyDescent="0.25">
      <c r="A331" s="31"/>
      <c r="B331" s="52"/>
      <c r="C331" s="58"/>
      <c r="D331" s="55"/>
      <c r="E331" s="32"/>
      <c r="F331" s="31"/>
      <c r="G331" s="31"/>
      <c r="H331" s="32"/>
      <c r="I331" s="32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31"/>
      <c r="AB331" s="31"/>
    </row>
    <row r="332" spans="1:28" ht="13.2" x14ac:dyDescent="0.25">
      <c r="A332" s="31"/>
      <c r="B332" s="52"/>
      <c r="C332" s="58"/>
      <c r="D332" s="55"/>
      <c r="E332" s="32"/>
      <c r="F332" s="31"/>
      <c r="G332" s="31"/>
      <c r="H332" s="32"/>
      <c r="I332" s="32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31"/>
      <c r="AB332" s="31"/>
    </row>
    <row r="333" spans="1:28" ht="13.2" x14ac:dyDescent="0.25">
      <c r="A333" s="31"/>
      <c r="B333" s="52"/>
      <c r="C333" s="58"/>
      <c r="D333" s="55"/>
      <c r="E333" s="32"/>
      <c r="F333" s="31"/>
      <c r="G333" s="31"/>
      <c r="H333" s="32"/>
      <c r="I333" s="32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31"/>
      <c r="AB333" s="31"/>
    </row>
    <row r="334" spans="1:28" ht="13.2" x14ac:dyDescent="0.25">
      <c r="A334" s="31"/>
      <c r="B334" s="52"/>
      <c r="C334" s="58"/>
      <c r="D334" s="55"/>
      <c r="E334" s="32"/>
      <c r="F334" s="31"/>
      <c r="G334" s="31"/>
      <c r="H334" s="32"/>
      <c r="I334" s="32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31"/>
      <c r="AB334" s="31"/>
    </row>
    <row r="335" spans="1:28" ht="13.2" x14ac:dyDescent="0.25">
      <c r="A335" s="31"/>
      <c r="B335" s="52"/>
      <c r="C335" s="58"/>
      <c r="D335" s="55"/>
      <c r="E335" s="32"/>
      <c r="F335" s="31"/>
      <c r="G335" s="31"/>
      <c r="H335" s="32"/>
      <c r="I335" s="32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31"/>
      <c r="AB335" s="31"/>
    </row>
    <row r="336" spans="1:28" ht="13.2" x14ac:dyDescent="0.25">
      <c r="A336" s="31"/>
      <c r="B336" s="52"/>
      <c r="C336" s="58"/>
      <c r="D336" s="55"/>
      <c r="E336" s="32"/>
      <c r="F336" s="31"/>
      <c r="G336" s="31"/>
      <c r="H336" s="32"/>
      <c r="I336" s="32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31"/>
      <c r="AB336" s="31"/>
    </row>
    <row r="337" spans="1:28" ht="13.2" x14ac:dyDescent="0.25">
      <c r="A337" s="31"/>
      <c r="B337" s="52"/>
      <c r="C337" s="58"/>
      <c r="D337" s="55"/>
      <c r="E337" s="32"/>
      <c r="F337" s="31"/>
      <c r="G337" s="31"/>
      <c r="H337" s="32"/>
      <c r="I337" s="32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31"/>
      <c r="AB337" s="31"/>
    </row>
    <row r="338" spans="1:28" ht="13.2" x14ac:dyDescent="0.25">
      <c r="A338" s="31"/>
      <c r="B338" s="52"/>
      <c r="C338" s="58"/>
      <c r="D338" s="55"/>
      <c r="E338" s="32"/>
      <c r="F338" s="31"/>
      <c r="G338" s="31"/>
      <c r="H338" s="32"/>
      <c r="I338" s="32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31"/>
      <c r="AB338" s="31"/>
    </row>
    <row r="339" spans="1:28" ht="13.2" x14ac:dyDescent="0.25">
      <c r="A339" s="31"/>
      <c r="B339" s="52"/>
      <c r="C339" s="58"/>
      <c r="D339" s="55"/>
      <c r="E339" s="32"/>
      <c r="F339" s="31"/>
      <c r="G339" s="31"/>
      <c r="H339" s="32"/>
      <c r="I339" s="32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31"/>
      <c r="AB339" s="31"/>
    </row>
    <row r="340" spans="1:28" ht="13.2" x14ac:dyDescent="0.25">
      <c r="A340" s="31"/>
      <c r="B340" s="52"/>
      <c r="C340" s="58"/>
      <c r="D340" s="55"/>
      <c r="E340" s="32"/>
      <c r="F340" s="31"/>
      <c r="G340" s="31"/>
      <c r="H340" s="32"/>
      <c r="I340" s="32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31"/>
      <c r="AB340" s="31"/>
    </row>
    <row r="341" spans="1:28" ht="13.2" x14ac:dyDescent="0.25">
      <c r="A341" s="31"/>
      <c r="B341" s="52"/>
      <c r="C341" s="58"/>
      <c r="D341" s="55"/>
      <c r="E341" s="32"/>
      <c r="F341" s="31"/>
      <c r="G341" s="31"/>
      <c r="H341" s="32"/>
      <c r="I341" s="32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31"/>
      <c r="AB341" s="31"/>
    </row>
    <row r="342" spans="1:28" ht="13.2" x14ac:dyDescent="0.25">
      <c r="A342" s="31"/>
      <c r="B342" s="52"/>
      <c r="C342" s="58"/>
      <c r="D342" s="55"/>
      <c r="E342" s="32"/>
      <c r="F342" s="31"/>
      <c r="G342" s="31"/>
      <c r="H342" s="32"/>
      <c r="I342" s="32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31"/>
      <c r="AB342" s="31"/>
    </row>
    <row r="343" spans="1:28" ht="13.2" x14ac:dyDescent="0.25">
      <c r="A343" s="31"/>
      <c r="B343" s="52"/>
      <c r="C343" s="58"/>
      <c r="D343" s="55"/>
      <c r="E343" s="32"/>
      <c r="F343" s="31"/>
      <c r="G343" s="31"/>
      <c r="H343" s="32"/>
      <c r="I343" s="32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31"/>
      <c r="AB343" s="31"/>
    </row>
    <row r="344" spans="1:28" ht="13.2" x14ac:dyDescent="0.25">
      <c r="A344" s="31"/>
      <c r="B344" s="52"/>
      <c r="C344" s="58"/>
      <c r="D344" s="55"/>
      <c r="E344" s="32"/>
      <c r="F344" s="31"/>
      <c r="G344" s="31"/>
      <c r="H344" s="32"/>
      <c r="I344" s="32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31"/>
      <c r="AB344" s="31"/>
    </row>
    <row r="345" spans="1:28" ht="13.2" x14ac:dyDescent="0.25">
      <c r="A345" s="31"/>
      <c r="B345" s="52"/>
      <c r="C345" s="58"/>
      <c r="D345" s="55"/>
      <c r="E345" s="32"/>
      <c r="F345" s="31"/>
      <c r="G345" s="31"/>
      <c r="H345" s="32"/>
      <c r="I345" s="32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31"/>
      <c r="AB345" s="31"/>
    </row>
    <row r="346" spans="1:28" ht="13.2" x14ac:dyDescent="0.25">
      <c r="A346" s="31"/>
      <c r="B346" s="52"/>
      <c r="C346" s="58"/>
      <c r="D346" s="55"/>
      <c r="E346" s="32"/>
      <c r="F346" s="31"/>
      <c r="G346" s="31"/>
      <c r="H346" s="32"/>
      <c r="I346" s="32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31"/>
      <c r="AB346" s="31"/>
    </row>
    <row r="347" spans="1:28" ht="13.2" x14ac:dyDescent="0.25">
      <c r="A347" s="31"/>
      <c r="B347" s="52"/>
      <c r="C347" s="58"/>
      <c r="D347" s="55"/>
      <c r="E347" s="32"/>
      <c r="F347" s="31"/>
      <c r="G347" s="31"/>
      <c r="H347" s="32"/>
      <c r="I347" s="32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31"/>
      <c r="AB347" s="31"/>
    </row>
    <row r="348" spans="1:28" ht="13.2" x14ac:dyDescent="0.25">
      <c r="A348" s="31"/>
      <c r="B348" s="52"/>
      <c r="C348" s="58"/>
      <c r="D348" s="55"/>
      <c r="E348" s="32"/>
      <c r="F348" s="31"/>
      <c r="G348" s="31"/>
      <c r="H348" s="32"/>
      <c r="I348" s="32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31"/>
      <c r="AB348" s="31"/>
    </row>
    <row r="349" spans="1:28" ht="13.2" x14ac:dyDescent="0.25">
      <c r="A349" s="31"/>
      <c r="B349" s="52"/>
      <c r="C349" s="58"/>
      <c r="D349" s="55"/>
      <c r="E349" s="32"/>
      <c r="F349" s="31"/>
      <c r="G349" s="31"/>
      <c r="H349" s="32"/>
      <c r="I349" s="32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31"/>
      <c r="AB349" s="31"/>
    </row>
    <row r="350" spans="1:28" ht="13.2" x14ac:dyDescent="0.25">
      <c r="A350" s="31"/>
      <c r="B350" s="52"/>
      <c r="C350" s="58"/>
      <c r="D350" s="55"/>
      <c r="E350" s="32"/>
      <c r="F350" s="31"/>
      <c r="G350" s="31"/>
      <c r="H350" s="32"/>
      <c r="I350" s="32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31"/>
      <c r="AB350" s="31"/>
    </row>
    <row r="351" spans="1:28" ht="13.2" x14ac:dyDescent="0.25">
      <c r="A351" s="31"/>
      <c r="B351" s="52"/>
      <c r="C351" s="58"/>
      <c r="D351" s="55"/>
      <c r="E351" s="32"/>
      <c r="F351" s="31"/>
      <c r="G351" s="31"/>
      <c r="H351" s="32"/>
      <c r="I351" s="32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31"/>
      <c r="AB351" s="31"/>
    </row>
    <row r="352" spans="1:28" ht="13.2" x14ac:dyDescent="0.25">
      <c r="A352" s="31"/>
      <c r="B352" s="52"/>
      <c r="C352" s="58"/>
      <c r="D352" s="55"/>
      <c r="E352" s="32"/>
      <c r="F352" s="31"/>
      <c r="G352" s="31"/>
      <c r="H352" s="32"/>
      <c r="I352" s="32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31"/>
      <c r="AB352" s="31"/>
    </row>
    <row r="353" spans="1:28" ht="13.2" x14ac:dyDescent="0.25">
      <c r="A353" s="31"/>
      <c r="B353" s="52"/>
      <c r="C353" s="58"/>
      <c r="D353" s="55"/>
      <c r="E353" s="32"/>
      <c r="F353" s="31"/>
      <c r="G353" s="31"/>
      <c r="H353" s="32"/>
      <c r="I353" s="32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31"/>
      <c r="AB353" s="31"/>
    </row>
    <row r="354" spans="1:28" ht="13.2" x14ac:dyDescent="0.25">
      <c r="A354" s="31"/>
      <c r="B354" s="52"/>
      <c r="C354" s="58"/>
      <c r="D354" s="55"/>
      <c r="E354" s="32"/>
      <c r="F354" s="31"/>
      <c r="G354" s="31"/>
      <c r="H354" s="32"/>
      <c r="I354" s="32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31"/>
      <c r="AB354" s="31"/>
    </row>
    <row r="355" spans="1:28" ht="13.2" x14ac:dyDescent="0.25">
      <c r="A355" s="31"/>
      <c r="B355" s="52"/>
      <c r="C355" s="58"/>
      <c r="D355" s="55"/>
      <c r="E355" s="32"/>
      <c r="F355" s="31"/>
      <c r="G355" s="31"/>
      <c r="H355" s="32"/>
      <c r="I355" s="32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31"/>
      <c r="AB355" s="31"/>
    </row>
    <row r="356" spans="1:28" ht="13.2" x14ac:dyDescent="0.25">
      <c r="A356" s="31"/>
      <c r="B356" s="52"/>
      <c r="C356" s="58"/>
      <c r="D356" s="55"/>
      <c r="E356" s="32"/>
      <c r="F356" s="31"/>
      <c r="G356" s="31"/>
      <c r="H356" s="32"/>
      <c r="I356" s="32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31"/>
      <c r="AB356" s="31"/>
    </row>
    <row r="357" spans="1:28" ht="13.2" x14ac:dyDescent="0.25">
      <c r="A357" s="31"/>
      <c r="B357" s="52"/>
      <c r="C357" s="58"/>
      <c r="D357" s="55"/>
      <c r="E357" s="32"/>
      <c r="F357" s="31"/>
      <c r="G357" s="31"/>
      <c r="H357" s="32"/>
      <c r="I357" s="32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31"/>
      <c r="AB357" s="31"/>
    </row>
    <row r="358" spans="1:28" ht="13.2" x14ac:dyDescent="0.25">
      <c r="A358" s="31"/>
      <c r="B358" s="52"/>
      <c r="C358" s="58"/>
      <c r="D358" s="55"/>
      <c r="E358" s="32"/>
      <c r="F358" s="31"/>
      <c r="G358" s="31"/>
      <c r="H358" s="32"/>
      <c r="I358" s="32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31"/>
      <c r="AB358" s="31"/>
    </row>
    <row r="359" spans="1:28" ht="13.2" x14ac:dyDescent="0.25">
      <c r="A359" s="31"/>
      <c r="B359" s="52"/>
      <c r="C359" s="58"/>
      <c r="D359" s="55"/>
      <c r="E359" s="32"/>
      <c r="F359" s="31"/>
      <c r="G359" s="31"/>
      <c r="H359" s="32"/>
      <c r="I359" s="32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31"/>
      <c r="AB359" s="31"/>
    </row>
    <row r="360" spans="1:28" ht="13.2" x14ac:dyDescent="0.25">
      <c r="A360" s="31"/>
      <c r="B360" s="52"/>
      <c r="C360" s="58"/>
      <c r="D360" s="55"/>
      <c r="E360" s="32"/>
      <c r="F360" s="31"/>
      <c r="G360" s="31"/>
      <c r="H360" s="32"/>
      <c r="I360" s="32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31"/>
      <c r="AB360" s="31"/>
    </row>
    <row r="361" spans="1:28" ht="13.2" x14ac:dyDescent="0.25">
      <c r="A361" s="31"/>
      <c r="B361" s="52"/>
      <c r="C361" s="58"/>
      <c r="D361" s="55"/>
      <c r="E361" s="32"/>
      <c r="F361" s="31"/>
      <c r="G361" s="31"/>
      <c r="H361" s="32"/>
      <c r="I361" s="32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31"/>
      <c r="AB361" s="31"/>
    </row>
    <row r="362" spans="1:28" ht="13.2" x14ac:dyDescent="0.25">
      <c r="A362" s="31"/>
      <c r="B362" s="52"/>
      <c r="C362" s="58"/>
      <c r="D362" s="55"/>
      <c r="E362" s="32"/>
      <c r="F362" s="31"/>
      <c r="G362" s="31"/>
      <c r="H362" s="32"/>
      <c r="I362" s="32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31"/>
      <c r="AB362" s="31"/>
    </row>
    <row r="363" spans="1:28" ht="13.2" x14ac:dyDescent="0.25">
      <c r="A363" s="31"/>
      <c r="B363" s="52"/>
      <c r="C363" s="58"/>
      <c r="D363" s="55"/>
      <c r="E363" s="32"/>
      <c r="F363" s="31"/>
      <c r="G363" s="31"/>
      <c r="H363" s="32"/>
      <c r="I363" s="32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31"/>
      <c r="AB363" s="31"/>
    </row>
    <row r="364" spans="1:28" ht="13.2" x14ac:dyDescent="0.25">
      <c r="A364" s="31"/>
      <c r="B364" s="52"/>
      <c r="C364" s="58"/>
      <c r="D364" s="55"/>
      <c r="E364" s="32"/>
      <c r="F364" s="31"/>
      <c r="G364" s="31"/>
      <c r="H364" s="32"/>
      <c r="I364" s="32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31"/>
      <c r="AB364" s="31"/>
    </row>
    <row r="365" spans="1:28" ht="13.2" x14ac:dyDescent="0.25">
      <c r="A365" s="31"/>
      <c r="B365" s="52"/>
      <c r="C365" s="58"/>
      <c r="D365" s="55"/>
      <c r="E365" s="32"/>
      <c r="F365" s="31"/>
      <c r="G365" s="31"/>
      <c r="H365" s="32"/>
      <c r="I365" s="32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31"/>
      <c r="AB365" s="31"/>
    </row>
    <row r="366" spans="1:28" ht="13.2" x14ac:dyDescent="0.25">
      <c r="A366" s="31"/>
      <c r="B366" s="52"/>
      <c r="C366" s="58"/>
      <c r="D366" s="55"/>
      <c r="E366" s="32"/>
      <c r="F366" s="31"/>
      <c r="G366" s="31"/>
      <c r="H366" s="32"/>
      <c r="I366" s="32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31"/>
      <c r="AB366" s="31"/>
    </row>
    <row r="367" spans="1:28" ht="13.2" x14ac:dyDescent="0.25">
      <c r="A367" s="31"/>
      <c r="B367" s="52"/>
      <c r="C367" s="58"/>
      <c r="D367" s="55"/>
      <c r="E367" s="32"/>
      <c r="F367" s="31"/>
      <c r="G367" s="31"/>
      <c r="H367" s="32"/>
      <c r="I367" s="32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31"/>
      <c r="AB367" s="31"/>
    </row>
    <row r="368" spans="1:28" ht="13.2" x14ac:dyDescent="0.25">
      <c r="A368" s="31"/>
      <c r="B368" s="52"/>
      <c r="C368" s="58"/>
      <c r="D368" s="55"/>
      <c r="E368" s="32"/>
      <c r="F368" s="31"/>
      <c r="G368" s="31"/>
      <c r="H368" s="32"/>
      <c r="I368" s="32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31"/>
      <c r="AB368" s="31"/>
    </row>
    <row r="369" spans="1:28" ht="13.2" x14ac:dyDescent="0.25">
      <c r="A369" s="31"/>
      <c r="B369" s="52"/>
      <c r="C369" s="58"/>
      <c r="D369" s="55"/>
      <c r="E369" s="32"/>
      <c r="F369" s="31"/>
      <c r="G369" s="31"/>
      <c r="H369" s="32"/>
      <c r="I369" s="32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31"/>
      <c r="AB369" s="31"/>
    </row>
    <row r="370" spans="1:28" ht="13.2" x14ac:dyDescent="0.25">
      <c r="A370" s="31"/>
      <c r="B370" s="52"/>
      <c r="C370" s="58"/>
      <c r="D370" s="55"/>
      <c r="E370" s="32"/>
      <c r="F370" s="31"/>
      <c r="G370" s="31"/>
      <c r="H370" s="32"/>
      <c r="I370" s="32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31"/>
      <c r="AB370" s="31"/>
    </row>
    <row r="371" spans="1:28" ht="13.2" x14ac:dyDescent="0.25">
      <c r="A371" s="31"/>
      <c r="B371" s="52"/>
      <c r="C371" s="58"/>
      <c r="D371" s="55"/>
      <c r="E371" s="32"/>
      <c r="F371" s="31"/>
      <c r="G371" s="31"/>
      <c r="H371" s="32"/>
      <c r="I371" s="32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31"/>
      <c r="AB371" s="31"/>
    </row>
    <row r="372" spans="1:28" ht="13.2" x14ac:dyDescent="0.25">
      <c r="A372" s="31"/>
      <c r="B372" s="52"/>
      <c r="C372" s="58"/>
      <c r="D372" s="55"/>
      <c r="E372" s="32"/>
      <c r="F372" s="31"/>
      <c r="G372" s="31"/>
      <c r="H372" s="32"/>
      <c r="I372" s="32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31"/>
      <c r="AB372" s="31"/>
    </row>
    <row r="373" spans="1:28" ht="13.2" x14ac:dyDescent="0.25">
      <c r="A373" s="31"/>
      <c r="B373" s="52"/>
      <c r="C373" s="58"/>
      <c r="D373" s="55"/>
      <c r="E373" s="32"/>
      <c r="F373" s="31"/>
      <c r="G373" s="31"/>
      <c r="H373" s="32"/>
      <c r="I373" s="32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31"/>
      <c r="AB373" s="31"/>
    </row>
    <row r="374" spans="1:28" ht="13.2" x14ac:dyDescent="0.25">
      <c r="A374" s="31"/>
      <c r="B374" s="52"/>
      <c r="C374" s="58"/>
      <c r="D374" s="55"/>
      <c r="E374" s="32"/>
      <c r="F374" s="31"/>
      <c r="G374" s="31"/>
      <c r="H374" s="32"/>
      <c r="I374" s="32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31"/>
      <c r="AB374" s="31"/>
    </row>
    <row r="375" spans="1:28" ht="13.2" x14ac:dyDescent="0.25">
      <c r="A375" s="31"/>
      <c r="B375" s="52"/>
      <c r="C375" s="58"/>
      <c r="D375" s="55"/>
      <c r="E375" s="32"/>
      <c r="F375" s="31"/>
      <c r="G375" s="31"/>
      <c r="H375" s="32"/>
      <c r="I375" s="32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31"/>
      <c r="AB375" s="31"/>
    </row>
    <row r="376" spans="1:28" ht="13.2" x14ac:dyDescent="0.25">
      <c r="A376" s="31"/>
      <c r="B376" s="52"/>
      <c r="C376" s="58"/>
      <c r="D376" s="55"/>
      <c r="E376" s="32"/>
      <c r="F376" s="31"/>
      <c r="G376" s="31"/>
      <c r="H376" s="32"/>
      <c r="I376" s="32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31"/>
      <c r="AB376" s="31"/>
    </row>
    <row r="377" spans="1:28" ht="13.2" x14ac:dyDescent="0.25">
      <c r="A377" s="31"/>
      <c r="B377" s="52"/>
      <c r="C377" s="58"/>
      <c r="D377" s="55"/>
      <c r="E377" s="32"/>
      <c r="F377" s="31"/>
      <c r="G377" s="31"/>
      <c r="H377" s="32"/>
      <c r="I377" s="32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31"/>
      <c r="AB377" s="31"/>
    </row>
    <row r="378" spans="1:28" ht="13.2" x14ac:dyDescent="0.25">
      <c r="A378" s="31"/>
      <c r="B378" s="52"/>
      <c r="C378" s="58"/>
      <c r="D378" s="55"/>
      <c r="E378" s="32"/>
      <c r="F378" s="31"/>
      <c r="G378" s="31"/>
      <c r="H378" s="32"/>
      <c r="I378" s="32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31"/>
      <c r="AB378" s="31"/>
    </row>
    <row r="379" spans="1:28" ht="13.2" x14ac:dyDescent="0.25">
      <c r="A379" s="31"/>
      <c r="B379" s="52"/>
      <c r="C379" s="58"/>
      <c r="D379" s="55"/>
      <c r="E379" s="32"/>
      <c r="F379" s="31"/>
      <c r="G379" s="31"/>
      <c r="H379" s="32"/>
      <c r="I379" s="32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31"/>
      <c r="AB379" s="31"/>
    </row>
    <row r="380" spans="1:28" ht="13.2" x14ac:dyDescent="0.25">
      <c r="A380" s="31"/>
      <c r="B380" s="52"/>
      <c r="C380" s="58"/>
      <c r="D380" s="55"/>
      <c r="E380" s="32"/>
      <c r="F380" s="31"/>
      <c r="G380" s="31"/>
      <c r="H380" s="32"/>
      <c r="I380" s="32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31"/>
      <c r="AB380" s="31"/>
    </row>
    <row r="381" spans="1:28" ht="13.2" x14ac:dyDescent="0.25">
      <c r="A381" s="31"/>
      <c r="B381" s="52"/>
      <c r="C381" s="58"/>
      <c r="D381" s="55"/>
      <c r="E381" s="32"/>
      <c r="F381" s="31"/>
      <c r="G381" s="31"/>
      <c r="H381" s="32"/>
      <c r="I381" s="32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31"/>
      <c r="AB381" s="31"/>
    </row>
    <row r="382" spans="1:28" ht="13.2" x14ac:dyDescent="0.25">
      <c r="A382" s="31"/>
      <c r="B382" s="52"/>
      <c r="C382" s="58"/>
      <c r="D382" s="55"/>
      <c r="E382" s="32"/>
      <c r="F382" s="31"/>
      <c r="G382" s="31"/>
      <c r="H382" s="32"/>
      <c r="I382" s="32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31"/>
      <c r="AB382" s="31"/>
    </row>
    <row r="383" spans="1:28" ht="13.2" x14ac:dyDescent="0.25">
      <c r="A383" s="31"/>
      <c r="B383" s="52"/>
      <c r="C383" s="58"/>
      <c r="D383" s="55"/>
      <c r="E383" s="32"/>
      <c r="F383" s="31"/>
      <c r="G383" s="31"/>
      <c r="H383" s="32"/>
      <c r="I383" s="32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31"/>
      <c r="AB383" s="31"/>
    </row>
    <row r="384" spans="1:28" ht="13.2" x14ac:dyDescent="0.25">
      <c r="A384" s="31"/>
      <c r="B384" s="52"/>
      <c r="C384" s="58"/>
      <c r="D384" s="55"/>
      <c r="E384" s="32"/>
      <c r="F384" s="31"/>
      <c r="G384" s="31"/>
      <c r="H384" s="32"/>
      <c r="I384" s="32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31"/>
      <c r="AB384" s="31"/>
    </row>
    <row r="385" spans="1:28" ht="13.2" x14ac:dyDescent="0.25">
      <c r="A385" s="31"/>
      <c r="B385" s="52"/>
      <c r="C385" s="58"/>
      <c r="D385" s="55"/>
      <c r="E385" s="32"/>
      <c r="F385" s="31"/>
      <c r="G385" s="31"/>
      <c r="H385" s="32"/>
      <c r="I385" s="32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31"/>
      <c r="AB385" s="31"/>
    </row>
    <row r="386" spans="1:28" ht="13.2" x14ac:dyDescent="0.25">
      <c r="A386" s="31"/>
      <c r="B386" s="52"/>
      <c r="C386" s="58"/>
      <c r="D386" s="55"/>
      <c r="E386" s="32"/>
      <c r="F386" s="31"/>
      <c r="G386" s="31"/>
      <c r="H386" s="32"/>
      <c r="I386" s="32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31"/>
      <c r="AB386" s="31"/>
    </row>
    <row r="387" spans="1:28" ht="13.2" x14ac:dyDescent="0.25">
      <c r="A387" s="31"/>
      <c r="B387" s="52"/>
      <c r="C387" s="58"/>
      <c r="D387" s="55"/>
      <c r="E387" s="32"/>
      <c r="F387" s="31"/>
      <c r="G387" s="31"/>
      <c r="H387" s="32"/>
      <c r="I387" s="32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31"/>
      <c r="AB387" s="31"/>
    </row>
    <row r="388" spans="1:28" ht="13.2" x14ac:dyDescent="0.25">
      <c r="A388" s="31"/>
      <c r="B388" s="52"/>
      <c r="C388" s="58"/>
      <c r="D388" s="55"/>
      <c r="E388" s="32"/>
      <c r="F388" s="31"/>
      <c r="G388" s="31"/>
      <c r="H388" s="32"/>
      <c r="I388" s="32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31"/>
      <c r="AB388" s="31"/>
    </row>
    <row r="389" spans="1:28" ht="13.2" x14ac:dyDescent="0.25">
      <c r="A389" s="31"/>
      <c r="B389" s="52"/>
      <c r="C389" s="58"/>
      <c r="D389" s="55"/>
      <c r="E389" s="32"/>
      <c r="F389" s="31"/>
      <c r="G389" s="31"/>
      <c r="H389" s="32"/>
      <c r="I389" s="32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31"/>
      <c r="AB389" s="31"/>
    </row>
    <row r="390" spans="1:28" ht="13.2" x14ac:dyDescent="0.25">
      <c r="A390" s="31"/>
      <c r="B390" s="52"/>
      <c r="C390" s="58"/>
      <c r="D390" s="55"/>
      <c r="E390" s="32"/>
      <c r="F390" s="31"/>
      <c r="G390" s="31"/>
      <c r="H390" s="32"/>
      <c r="I390" s="32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31"/>
      <c r="AB390" s="31"/>
    </row>
    <row r="391" spans="1:28" ht="13.2" x14ac:dyDescent="0.25">
      <c r="A391" s="31"/>
      <c r="B391" s="52"/>
      <c r="C391" s="58"/>
      <c r="D391" s="55"/>
      <c r="E391" s="32"/>
      <c r="F391" s="31"/>
      <c r="G391" s="31"/>
      <c r="H391" s="32"/>
      <c r="I391" s="32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31"/>
      <c r="AB391" s="31"/>
    </row>
    <row r="392" spans="1:28" ht="13.2" x14ac:dyDescent="0.25">
      <c r="A392" s="31"/>
      <c r="B392" s="52"/>
      <c r="C392" s="58"/>
      <c r="D392" s="55"/>
      <c r="E392" s="32"/>
      <c r="F392" s="31"/>
      <c r="G392" s="31"/>
      <c r="H392" s="32"/>
      <c r="I392" s="32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31"/>
      <c r="AB392" s="31"/>
    </row>
    <row r="393" spans="1:28" ht="13.2" x14ac:dyDescent="0.25">
      <c r="A393" s="31"/>
      <c r="B393" s="52"/>
      <c r="C393" s="58"/>
      <c r="D393" s="55"/>
      <c r="E393" s="32"/>
      <c r="F393" s="31"/>
      <c r="G393" s="31"/>
      <c r="H393" s="32"/>
      <c r="I393" s="32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31"/>
      <c r="AB393" s="31"/>
    </row>
    <row r="394" spans="1:28" ht="13.2" x14ac:dyDescent="0.25">
      <c r="A394" s="31"/>
      <c r="B394" s="52"/>
      <c r="C394" s="58"/>
      <c r="D394" s="55"/>
      <c r="E394" s="32"/>
      <c r="F394" s="31"/>
      <c r="G394" s="31"/>
      <c r="H394" s="32"/>
      <c r="I394" s="32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31"/>
      <c r="AB394" s="31"/>
    </row>
    <row r="395" spans="1:28" ht="13.2" x14ac:dyDescent="0.25">
      <c r="A395" s="31"/>
      <c r="B395" s="52"/>
      <c r="C395" s="58"/>
      <c r="D395" s="55"/>
      <c r="E395" s="32"/>
      <c r="F395" s="31"/>
      <c r="G395" s="31"/>
      <c r="H395" s="32"/>
      <c r="I395" s="32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31"/>
      <c r="AB395" s="31"/>
    </row>
    <row r="396" spans="1:28" ht="13.2" x14ac:dyDescent="0.25">
      <c r="A396" s="31"/>
      <c r="B396" s="52"/>
      <c r="C396" s="58"/>
      <c r="D396" s="55"/>
      <c r="E396" s="32"/>
      <c r="F396" s="31"/>
      <c r="G396" s="31"/>
      <c r="H396" s="32"/>
      <c r="I396" s="32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31"/>
      <c r="AB396" s="31"/>
    </row>
    <row r="397" spans="1:28" ht="13.2" x14ac:dyDescent="0.25">
      <c r="A397" s="31"/>
      <c r="B397" s="52"/>
      <c r="C397" s="58"/>
      <c r="D397" s="55"/>
      <c r="E397" s="32"/>
      <c r="F397" s="31"/>
      <c r="G397" s="31"/>
      <c r="H397" s="32"/>
      <c r="I397" s="32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31"/>
      <c r="AB397" s="31"/>
    </row>
    <row r="398" spans="1:28" ht="13.2" x14ac:dyDescent="0.25">
      <c r="A398" s="31"/>
      <c r="B398" s="52"/>
      <c r="C398" s="58"/>
      <c r="D398" s="55"/>
      <c r="E398" s="32"/>
      <c r="F398" s="31"/>
      <c r="G398" s="31"/>
      <c r="H398" s="32"/>
      <c r="I398" s="32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31"/>
      <c r="AB398" s="31"/>
    </row>
    <row r="399" spans="1:28" ht="13.2" x14ac:dyDescent="0.25">
      <c r="A399" s="31"/>
      <c r="B399" s="52"/>
      <c r="C399" s="58"/>
      <c r="D399" s="55"/>
      <c r="E399" s="32"/>
      <c r="F399" s="31"/>
      <c r="G399" s="31"/>
      <c r="H399" s="32"/>
      <c r="I399" s="32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31"/>
      <c r="AB399" s="31"/>
    </row>
    <row r="400" spans="1:28" ht="13.2" x14ac:dyDescent="0.25">
      <c r="A400" s="31"/>
      <c r="B400" s="52"/>
      <c r="C400" s="58"/>
      <c r="D400" s="55"/>
      <c r="E400" s="32"/>
      <c r="F400" s="31"/>
      <c r="G400" s="31"/>
      <c r="H400" s="32"/>
      <c r="I400" s="32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31"/>
      <c r="AB400" s="31"/>
    </row>
    <row r="401" spans="1:28" ht="13.2" x14ac:dyDescent="0.25">
      <c r="A401" s="31"/>
      <c r="B401" s="52"/>
      <c r="C401" s="58"/>
      <c r="D401" s="55"/>
      <c r="E401" s="32"/>
      <c r="F401" s="31"/>
      <c r="G401" s="31"/>
      <c r="H401" s="32"/>
      <c r="I401" s="32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31"/>
      <c r="AB401" s="31"/>
    </row>
    <row r="402" spans="1:28" ht="13.2" x14ac:dyDescent="0.25">
      <c r="A402" s="31"/>
      <c r="B402" s="52"/>
      <c r="C402" s="58"/>
      <c r="D402" s="55"/>
      <c r="E402" s="32"/>
      <c r="F402" s="31"/>
      <c r="G402" s="31"/>
      <c r="H402" s="32"/>
      <c r="I402" s="32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31"/>
      <c r="AB402" s="31"/>
    </row>
    <row r="403" spans="1:28" ht="13.2" x14ac:dyDescent="0.25">
      <c r="A403" s="31"/>
      <c r="B403" s="52"/>
      <c r="C403" s="58"/>
      <c r="D403" s="55"/>
      <c r="E403" s="32"/>
      <c r="F403" s="31"/>
      <c r="G403" s="31"/>
      <c r="H403" s="32"/>
      <c r="I403" s="32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31"/>
      <c r="AB403" s="31"/>
    </row>
    <row r="404" spans="1:28" ht="13.2" x14ac:dyDescent="0.25">
      <c r="A404" s="31"/>
      <c r="B404" s="52"/>
      <c r="C404" s="58"/>
      <c r="D404" s="55"/>
      <c r="E404" s="32"/>
      <c r="F404" s="31"/>
      <c r="G404" s="31"/>
      <c r="H404" s="32"/>
      <c r="I404" s="32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31"/>
      <c r="AB404" s="31"/>
    </row>
    <row r="405" spans="1:28" ht="13.2" x14ac:dyDescent="0.25">
      <c r="A405" s="31"/>
      <c r="B405" s="52"/>
      <c r="C405" s="58"/>
      <c r="D405" s="55"/>
      <c r="E405" s="32"/>
      <c r="F405" s="31"/>
      <c r="G405" s="31"/>
      <c r="H405" s="32"/>
      <c r="I405" s="32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31"/>
      <c r="AB405" s="31"/>
    </row>
    <row r="406" spans="1:28" ht="13.2" x14ac:dyDescent="0.25">
      <c r="A406" s="31"/>
      <c r="B406" s="52"/>
      <c r="C406" s="58"/>
      <c r="D406" s="55"/>
      <c r="E406" s="32"/>
      <c r="F406" s="31"/>
      <c r="G406" s="31"/>
      <c r="H406" s="32"/>
      <c r="I406" s="32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31"/>
      <c r="AB406" s="31"/>
    </row>
    <row r="407" spans="1:28" ht="13.2" x14ac:dyDescent="0.25">
      <c r="A407" s="31"/>
      <c r="B407" s="52"/>
      <c r="C407" s="58"/>
      <c r="D407" s="55"/>
      <c r="E407" s="32"/>
      <c r="F407" s="31"/>
      <c r="G407" s="31"/>
      <c r="H407" s="32"/>
      <c r="I407" s="32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31"/>
      <c r="AB407" s="31"/>
    </row>
    <row r="408" spans="1:28" ht="13.2" x14ac:dyDescent="0.25">
      <c r="A408" s="31"/>
      <c r="B408" s="52"/>
      <c r="C408" s="58"/>
      <c r="D408" s="55"/>
      <c r="E408" s="32"/>
      <c r="F408" s="31"/>
      <c r="G408" s="31"/>
      <c r="H408" s="32"/>
      <c r="I408" s="32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31"/>
      <c r="AB408" s="31"/>
    </row>
    <row r="409" spans="1:28" ht="13.2" x14ac:dyDescent="0.25">
      <c r="A409" s="31"/>
      <c r="B409" s="52"/>
      <c r="C409" s="58"/>
      <c r="D409" s="55"/>
      <c r="E409" s="32"/>
      <c r="F409" s="31"/>
      <c r="G409" s="31"/>
      <c r="H409" s="32"/>
      <c r="I409" s="32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31"/>
      <c r="AB409" s="31"/>
    </row>
    <row r="410" spans="1:28" ht="13.2" x14ac:dyDescent="0.25">
      <c r="A410" s="31"/>
      <c r="B410" s="52"/>
      <c r="C410" s="58"/>
      <c r="D410" s="55"/>
      <c r="E410" s="32"/>
      <c r="F410" s="31"/>
      <c r="G410" s="31"/>
      <c r="H410" s="32"/>
      <c r="I410" s="32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31"/>
      <c r="AB410" s="31"/>
    </row>
    <row r="411" spans="1:28" ht="13.2" x14ac:dyDescent="0.25">
      <c r="A411" s="31"/>
      <c r="B411" s="52"/>
      <c r="C411" s="58"/>
      <c r="D411" s="55"/>
      <c r="E411" s="32"/>
      <c r="F411" s="31"/>
      <c r="G411" s="31"/>
      <c r="H411" s="32"/>
      <c r="I411" s="32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31"/>
      <c r="AB411" s="31"/>
    </row>
    <row r="412" spans="1:28" ht="13.2" x14ac:dyDescent="0.25">
      <c r="A412" s="31"/>
      <c r="B412" s="52"/>
      <c r="C412" s="58"/>
      <c r="D412" s="55"/>
      <c r="E412" s="32"/>
      <c r="F412" s="31"/>
      <c r="G412" s="31"/>
      <c r="H412" s="32"/>
      <c r="I412" s="32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31"/>
      <c r="AB412" s="31"/>
    </row>
    <row r="413" spans="1:28" ht="13.2" x14ac:dyDescent="0.25">
      <c r="A413" s="31"/>
      <c r="B413" s="52"/>
      <c r="C413" s="58"/>
      <c r="D413" s="55"/>
      <c r="E413" s="32"/>
      <c r="F413" s="31"/>
      <c r="G413" s="31"/>
      <c r="H413" s="32"/>
      <c r="I413" s="32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31"/>
      <c r="AB413" s="31"/>
    </row>
    <row r="414" spans="1:28" ht="13.2" x14ac:dyDescent="0.25">
      <c r="A414" s="31"/>
      <c r="B414" s="52"/>
      <c r="C414" s="58"/>
      <c r="D414" s="55"/>
      <c r="E414" s="32"/>
      <c r="F414" s="31"/>
      <c r="G414" s="31"/>
      <c r="H414" s="32"/>
      <c r="I414" s="32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31"/>
      <c r="AB414" s="31"/>
    </row>
    <row r="415" spans="1:28" ht="13.2" x14ac:dyDescent="0.25">
      <c r="A415" s="31"/>
      <c r="B415" s="52"/>
      <c r="C415" s="58"/>
      <c r="D415" s="55"/>
      <c r="E415" s="32"/>
      <c r="F415" s="31"/>
      <c r="G415" s="31"/>
      <c r="H415" s="32"/>
      <c r="I415" s="32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31"/>
      <c r="AB415" s="31"/>
    </row>
    <row r="416" spans="1:28" ht="13.2" x14ac:dyDescent="0.25">
      <c r="A416" s="31"/>
      <c r="B416" s="52"/>
      <c r="C416" s="58"/>
      <c r="D416" s="55"/>
      <c r="E416" s="32"/>
      <c r="F416" s="31"/>
      <c r="G416" s="31"/>
      <c r="H416" s="32"/>
      <c r="I416" s="32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31"/>
      <c r="AB416" s="31"/>
    </row>
    <row r="417" spans="1:28" ht="13.2" x14ac:dyDescent="0.25">
      <c r="A417" s="31"/>
      <c r="B417" s="52"/>
      <c r="C417" s="58"/>
      <c r="D417" s="55"/>
      <c r="E417" s="32"/>
      <c r="F417" s="31"/>
      <c r="G417" s="31"/>
      <c r="H417" s="32"/>
      <c r="I417" s="32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31"/>
      <c r="AB417" s="31"/>
    </row>
    <row r="418" spans="1:28" ht="13.2" x14ac:dyDescent="0.25">
      <c r="A418" s="31"/>
      <c r="B418" s="52"/>
      <c r="C418" s="58"/>
      <c r="D418" s="55"/>
      <c r="E418" s="32"/>
      <c r="F418" s="31"/>
      <c r="G418" s="31"/>
      <c r="H418" s="32"/>
      <c r="I418" s="32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31"/>
      <c r="AB418" s="31"/>
    </row>
    <row r="419" spans="1:28" ht="13.2" x14ac:dyDescent="0.25">
      <c r="A419" s="31"/>
      <c r="B419" s="52"/>
      <c r="C419" s="58"/>
      <c r="D419" s="55"/>
      <c r="E419" s="32"/>
      <c r="F419" s="31"/>
      <c r="G419" s="31"/>
      <c r="H419" s="32"/>
      <c r="I419" s="32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31"/>
      <c r="AB419" s="31"/>
    </row>
    <row r="420" spans="1:28" ht="13.2" x14ac:dyDescent="0.25">
      <c r="A420" s="31"/>
      <c r="B420" s="52"/>
      <c r="C420" s="58"/>
      <c r="D420" s="55"/>
      <c r="E420" s="32"/>
      <c r="F420" s="31"/>
      <c r="G420" s="31"/>
      <c r="H420" s="32"/>
      <c r="I420" s="32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31"/>
      <c r="AB420" s="31"/>
    </row>
    <row r="421" spans="1:28" ht="13.2" x14ac:dyDescent="0.25">
      <c r="A421" s="31"/>
      <c r="B421" s="52"/>
      <c r="C421" s="58"/>
      <c r="D421" s="55"/>
      <c r="E421" s="32"/>
      <c r="F421" s="31"/>
      <c r="G421" s="31"/>
      <c r="H421" s="32"/>
      <c r="I421" s="32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31"/>
      <c r="AB421" s="31"/>
    </row>
    <row r="422" spans="1:28" ht="13.2" x14ac:dyDescent="0.25">
      <c r="A422" s="31"/>
      <c r="B422" s="52"/>
      <c r="C422" s="58"/>
      <c r="D422" s="55"/>
      <c r="E422" s="32"/>
      <c r="F422" s="31"/>
      <c r="G422" s="31"/>
      <c r="H422" s="32"/>
      <c r="I422" s="32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31"/>
      <c r="AB422" s="31"/>
    </row>
    <row r="423" spans="1:28" ht="13.2" x14ac:dyDescent="0.25">
      <c r="A423" s="31"/>
      <c r="B423" s="52"/>
      <c r="C423" s="58"/>
      <c r="D423" s="55"/>
      <c r="E423" s="32"/>
      <c r="F423" s="31"/>
      <c r="G423" s="31"/>
      <c r="H423" s="32"/>
      <c r="I423" s="32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31"/>
      <c r="AB423" s="31"/>
    </row>
    <row r="424" spans="1:28" ht="13.2" x14ac:dyDescent="0.25">
      <c r="A424" s="31"/>
      <c r="B424" s="52"/>
      <c r="C424" s="58"/>
      <c r="D424" s="55"/>
      <c r="E424" s="32"/>
      <c r="F424" s="31"/>
      <c r="G424" s="31"/>
      <c r="H424" s="32"/>
      <c r="I424" s="32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31"/>
      <c r="AB424" s="31"/>
    </row>
    <row r="425" spans="1:28" ht="13.2" x14ac:dyDescent="0.25">
      <c r="A425" s="31"/>
      <c r="B425" s="52"/>
      <c r="C425" s="58"/>
      <c r="D425" s="55"/>
      <c r="E425" s="32"/>
      <c r="F425" s="31"/>
      <c r="G425" s="31"/>
      <c r="H425" s="32"/>
      <c r="I425" s="32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31"/>
      <c r="AB425" s="31"/>
    </row>
    <row r="426" spans="1:28" ht="13.2" x14ac:dyDescent="0.25">
      <c r="A426" s="31"/>
      <c r="B426" s="52"/>
      <c r="C426" s="58"/>
      <c r="D426" s="55"/>
      <c r="E426" s="32"/>
      <c r="F426" s="31"/>
      <c r="G426" s="31"/>
      <c r="H426" s="32"/>
      <c r="I426" s="32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31"/>
      <c r="AB426" s="31"/>
    </row>
    <row r="427" spans="1:28" ht="13.2" x14ac:dyDescent="0.25">
      <c r="A427" s="31"/>
      <c r="B427" s="52"/>
      <c r="C427" s="58"/>
      <c r="D427" s="55"/>
      <c r="E427" s="32"/>
      <c r="F427" s="31"/>
      <c r="G427" s="31"/>
      <c r="H427" s="32"/>
      <c r="I427" s="32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31"/>
      <c r="AB427" s="31"/>
    </row>
    <row r="428" spans="1:28" ht="13.2" x14ac:dyDescent="0.25">
      <c r="A428" s="31"/>
      <c r="B428" s="52"/>
      <c r="C428" s="58"/>
      <c r="D428" s="55"/>
      <c r="E428" s="32"/>
      <c r="F428" s="31"/>
      <c r="G428" s="31"/>
      <c r="H428" s="32"/>
      <c r="I428" s="32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31"/>
      <c r="AB428" s="31"/>
    </row>
    <row r="429" spans="1:28" ht="13.2" x14ac:dyDescent="0.25">
      <c r="A429" s="31"/>
      <c r="B429" s="52"/>
      <c r="C429" s="58"/>
      <c r="D429" s="55"/>
      <c r="E429" s="32"/>
      <c r="F429" s="31"/>
      <c r="G429" s="31"/>
      <c r="H429" s="32"/>
      <c r="I429" s="32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31"/>
      <c r="AB429" s="31"/>
    </row>
    <row r="430" spans="1:28" ht="13.2" x14ac:dyDescent="0.25">
      <c r="A430" s="31"/>
      <c r="B430" s="52"/>
      <c r="C430" s="58"/>
      <c r="D430" s="55"/>
      <c r="E430" s="32"/>
      <c r="F430" s="31"/>
      <c r="G430" s="31"/>
      <c r="H430" s="32"/>
      <c r="I430" s="32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31"/>
      <c r="AB430" s="31"/>
    </row>
    <row r="431" spans="1:28" ht="13.2" x14ac:dyDescent="0.25">
      <c r="A431" s="31"/>
      <c r="B431" s="52"/>
      <c r="C431" s="58"/>
      <c r="D431" s="55"/>
      <c r="E431" s="32"/>
      <c r="F431" s="31"/>
      <c r="G431" s="31"/>
      <c r="H431" s="32"/>
      <c r="I431" s="32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31"/>
      <c r="AB431" s="31"/>
    </row>
    <row r="432" spans="1:28" ht="13.2" x14ac:dyDescent="0.25">
      <c r="A432" s="31"/>
      <c r="B432" s="52"/>
      <c r="C432" s="58"/>
      <c r="D432" s="55"/>
      <c r="E432" s="32"/>
      <c r="F432" s="31"/>
      <c r="G432" s="31"/>
      <c r="H432" s="32"/>
      <c r="I432" s="32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31"/>
      <c r="AB432" s="31"/>
    </row>
    <row r="433" spans="1:28" ht="13.2" x14ac:dyDescent="0.25">
      <c r="A433" s="31"/>
      <c r="B433" s="52"/>
      <c r="C433" s="58"/>
      <c r="D433" s="55"/>
      <c r="E433" s="32"/>
      <c r="F433" s="31"/>
      <c r="G433" s="31"/>
      <c r="H433" s="32"/>
      <c r="I433" s="32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31"/>
      <c r="AB433" s="31"/>
    </row>
    <row r="434" spans="1:28" ht="13.2" x14ac:dyDescent="0.25">
      <c r="A434" s="31"/>
      <c r="B434" s="52"/>
      <c r="C434" s="58"/>
      <c r="D434" s="55"/>
      <c r="E434" s="32"/>
      <c r="F434" s="31"/>
      <c r="G434" s="31"/>
      <c r="H434" s="32"/>
      <c r="I434" s="32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31"/>
      <c r="AB434" s="31"/>
    </row>
    <row r="435" spans="1:28" ht="13.2" x14ac:dyDescent="0.25">
      <c r="A435" s="31"/>
      <c r="B435" s="52"/>
      <c r="C435" s="58"/>
      <c r="D435" s="55"/>
      <c r="E435" s="32"/>
      <c r="F435" s="31"/>
      <c r="G435" s="31"/>
      <c r="H435" s="32"/>
      <c r="I435" s="32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31"/>
      <c r="AB435" s="31"/>
    </row>
    <row r="436" spans="1:28" ht="13.2" x14ac:dyDescent="0.25">
      <c r="A436" s="31"/>
      <c r="B436" s="52"/>
      <c r="C436" s="58"/>
      <c r="D436" s="55"/>
      <c r="E436" s="32"/>
      <c r="F436" s="31"/>
      <c r="G436" s="31"/>
      <c r="H436" s="32"/>
      <c r="I436" s="32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31"/>
      <c r="AB436" s="31"/>
    </row>
    <row r="437" spans="1:28" ht="13.2" x14ac:dyDescent="0.25">
      <c r="A437" s="31"/>
      <c r="B437" s="52"/>
      <c r="C437" s="58"/>
      <c r="D437" s="55"/>
      <c r="E437" s="32"/>
      <c r="F437" s="31"/>
      <c r="G437" s="31"/>
      <c r="H437" s="32"/>
      <c r="I437" s="32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31"/>
      <c r="AB437" s="31"/>
    </row>
    <row r="438" spans="1:28" ht="13.2" x14ac:dyDescent="0.25">
      <c r="A438" s="31"/>
      <c r="B438" s="52"/>
      <c r="C438" s="58"/>
      <c r="D438" s="55"/>
      <c r="E438" s="32"/>
      <c r="F438" s="31"/>
      <c r="G438" s="31"/>
      <c r="H438" s="32"/>
      <c r="I438" s="32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31"/>
      <c r="AB438" s="31"/>
    </row>
    <row r="439" spans="1:28" ht="13.2" x14ac:dyDescent="0.25">
      <c r="A439" s="31"/>
      <c r="B439" s="52"/>
      <c r="C439" s="58"/>
      <c r="D439" s="55"/>
      <c r="E439" s="32"/>
      <c r="F439" s="31"/>
      <c r="G439" s="31"/>
      <c r="H439" s="32"/>
      <c r="I439" s="32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31"/>
      <c r="AB439" s="31"/>
    </row>
    <row r="440" spans="1:28" ht="13.2" x14ac:dyDescent="0.25">
      <c r="A440" s="31"/>
      <c r="B440" s="52"/>
      <c r="C440" s="58"/>
      <c r="D440" s="55"/>
      <c r="E440" s="32"/>
      <c r="F440" s="31"/>
      <c r="G440" s="31"/>
      <c r="H440" s="32"/>
      <c r="I440" s="32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31"/>
      <c r="AB440" s="31"/>
    </row>
    <row r="441" spans="1:28" ht="13.2" x14ac:dyDescent="0.25">
      <c r="A441" s="31"/>
      <c r="B441" s="52"/>
      <c r="C441" s="58"/>
      <c r="D441" s="55"/>
      <c r="E441" s="32"/>
      <c r="F441" s="31"/>
      <c r="G441" s="31"/>
      <c r="H441" s="32"/>
      <c r="I441" s="32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31"/>
      <c r="AB441" s="31"/>
    </row>
    <row r="442" spans="1:28" ht="13.2" x14ac:dyDescent="0.25">
      <c r="A442" s="31"/>
      <c r="B442" s="52"/>
      <c r="C442" s="58"/>
      <c r="D442" s="55"/>
      <c r="E442" s="32"/>
      <c r="F442" s="31"/>
      <c r="G442" s="31"/>
      <c r="H442" s="32"/>
      <c r="I442" s="32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31"/>
      <c r="AB442" s="31"/>
    </row>
    <row r="443" spans="1:28" ht="13.2" x14ac:dyDescent="0.25">
      <c r="A443" s="31"/>
      <c r="B443" s="52"/>
      <c r="C443" s="58"/>
      <c r="D443" s="55"/>
      <c r="E443" s="32"/>
      <c r="F443" s="31"/>
      <c r="G443" s="31"/>
      <c r="H443" s="32"/>
      <c r="I443" s="32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31"/>
      <c r="AB443" s="31"/>
    </row>
    <row r="444" spans="1:28" ht="13.2" x14ac:dyDescent="0.25">
      <c r="A444" s="31"/>
      <c r="B444" s="52"/>
      <c r="C444" s="58"/>
      <c r="D444" s="55"/>
      <c r="E444" s="32"/>
      <c r="F444" s="31"/>
      <c r="G444" s="31"/>
      <c r="H444" s="32"/>
      <c r="I444" s="32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31"/>
      <c r="AB444" s="31"/>
    </row>
    <row r="445" spans="1:28" ht="13.2" x14ac:dyDescent="0.25">
      <c r="A445" s="31"/>
      <c r="B445" s="52"/>
      <c r="C445" s="58"/>
      <c r="D445" s="55"/>
      <c r="E445" s="32"/>
      <c r="F445" s="31"/>
      <c r="G445" s="31"/>
      <c r="H445" s="32"/>
      <c r="I445" s="32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31"/>
      <c r="AB445" s="31"/>
    </row>
    <row r="446" spans="1:28" ht="13.2" x14ac:dyDescent="0.25">
      <c r="A446" s="31"/>
      <c r="B446" s="52"/>
      <c r="C446" s="58"/>
      <c r="D446" s="55"/>
      <c r="E446" s="32"/>
      <c r="F446" s="31"/>
      <c r="G446" s="31"/>
      <c r="H446" s="32"/>
      <c r="I446" s="32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31"/>
      <c r="AB446" s="31"/>
    </row>
    <row r="447" spans="1:28" ht="13.2" x14ac:dyDescent="0.25">
      <c r="A447" s="31"/>
      <c r="B447" s="52"/>
      <c r="C447" s="58"/>
      <c r="D447" s="55"/>
      <c r="E447" s="32"/>
      <c r="F447" s="31"/>
      <c r="G447" s="31"/>
      <c r="H447" s="32"/>
      <c r="I447" s="32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31"/>
      <c r="AB447" s="31"/>
    </row>
    <row r="448" spans="1:28" ht="13.2" x14ac:dyDescent="0.25">
      <c r="A448" s="31"/>
      <c r="B448" s="52"/>
      <c r="C448" s="58"/>
      <c r="D448" s="55"/>
      <c r="E448" s="32"/>
      <c r="F448" s="31"/>
      <c r="G448" s="31"/>
      <c r="H448" s="32"/>
      <c r="I448" s="32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31"/>
      <c r="AB448" s="31"/>
    </row>
    <row r="449" spans="1:28" ht="13.2" x14ac:dyDescent="0.25">
      <c r="A449" s="31"/>
      <c r="B449" s="52"/>
      <c r="C449" s="58"/>
      <c r="D449" s="55"/>
      <c r="E449" s="32"/>
      <c r="F449" s="31"/>
      <c r="G449" s="31"/>
      <c r="H449" s="32"/>
      <c r="I449" s="32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31"/>
      <c r="AB449" s="31"/>
    </row>
    <row r="450" spans="1:28" ht="13.2" x14ac:dyDescent="0.25">
      <c r="A450" s="31"/>
      <c r="B450" s="52"/>
      <c r="C450" s="58"/>
      <c r="D450" s="55"/>
      <c r="E450" s="32"/>
      <c r="F450" s="31"/>
      <c r="G450" s="31"/>
      <c r="H450" s="32"/>
      <c r="I450" s="32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31"/>
      <c r="AB450" s="31"/>
    </row>
    <row r="451" spans="1:28" ht="13.2" x14ac:dyDescent="0.25">
      <c r="A451" s="31"/>
      <c r="B451" s="52"/>
      <c r="C451" s="58"/>
      <c r="D451" s="55"/>
      <c r="E451" s="32"/>
      <c r="F451" s="31"/>
      <c r="G451" s="31"/>
      <c r="H451" s="32"/>
      <c r="I451" s="32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31"/>
      <c r="AB451" s="31"/>
    </row>
    <row r="452" spans="1:28" ht="13.2" x14ac:dyDescent="0.25">
      <c r="A452" s="31"/>
      <c r="B452" s="52"/>
      <c r="C452" s="58"/>
      <c r="D452" s="55"/>
      <c r="E452" s="32"/>
      <c r="F452" s="31"/>
      <c r="G452" s="31"/>
      <c r="H452" s="32"/>
      <c r="I452" s="32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31"/>
      <c r="AB452" s="31"/>
    </row>
    <row r="453" spans="1:28" ht="13.2" x14ac:dyDescent="0.25">
      <c r="A453" s="31"/>
      <c r="B453" s="52"/>
      <c r="C453" s="58"/>
      <c r="D453" s="55"/>
      <c r="E453" s="32"/>
      <c r="F453" s="31"/>
      <c r="G453" s="31"/>
      <c r="H453" s="32"/>
      <c r="I453" s="32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31"/>
      <c r="AB453" s="31"/>
    </row>
    <row r="454" spans="1:28" ht="13.2" x14ac:dyDescent="0.25">
      <c r="A454" s="31"/>
      <c r="B454" s="52"/>
      <c r="C454" s="58"/>
      <c r="D454" s="55"/>
      <c r="E454" s="32"/>
      <c r="F454" s="31"/>
      <c r="G454" s="31"/>
      <c r="H454" s="32"/>
      <c r="I454" s="32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31"/>
      <c r="AB454" s="31"/>
    </row>
    <row r="455" spans="1:28" ht="13.2" x14ac:dyDescent="0.25">
      <c r="A455" s="31"/>
      <c r="B455" s="52"/>
      <c r="C455" s="58"/>
      <c r="D455" s="55"/>
      <c r="E455" s="32"/>
      <c r="F455" s="31"/>
      <c r="G455" s="31"/>
      <c r="H455" s="32"/>
      <c r="I455" s="32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31"/>
      <c r="AB455" s="31"/>
    </row>
    <row r="456" spans="1:28" ht="13.2" x14ac:dyDescent="0.25">
      <c r="A456" s="31"/>
      <c r="B456" s="52"/>
      <c r="C456" s="58"/>
      <c r="D456" s="55"/>
      <c r="E456" s="32"/>
      <c r="F456" s="31"/>
      <c r="G456" s="31"/>
      <c r="H456" s="32"/>
      <c r="I456" s="32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31"/>
      <c r="AB456" s="31"/>
    </row>
    <row r="457" spans="1:28" ht="13.2" x14ac:dyDescent="0.25">
      <c r="A457" s="31"/>
      <c r="B457" s="52"/>
      <c r="C457" s="58"/>
      <c r="D457" s="55"/>
      <c r="E457" s="32"/>
      <c r="F457" s="31"/>
      <c r="G457" s="31"/>
      <c r="H457" s="32"/>
      <c r="I457" s="32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31"/>
      <c r="AB457" s="31"/>
    </row>
    <row r="458" spans="1:28" ht="13.2" x14ac:dyDescent="0.25">
      <c r="A458" s="31"/>
      <c r="B458" s="52"/>
      <c r="C458" s="58"/>
      <c r="D458" s="55"/>
      <c r="E458" s="32"/>
      <c r="F458" s="31"/>
      <c r="G458" s="31"/>
      <c r="H458" s="32"/>
      <c r="I458" s="32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31"/>
      <c r="AB458" s="31"/>
    </row>
    <row r="459" spans="1:28" ht="13.2" x14ac:dyDescent="0.25">
      <c r="A459" s="31"/>
      <c r="B459" s="52"/>
      <c r="C459" s="58"/>
      <c r="D459" s="55"/>
      <c r="E459" s="32"/>
      <c r="F459" s="31"/>
      <c r="G459" s="31"/>
      <c r="H459" s="32"/>
      <c r="I459" s="32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31"/>
      <c r="AB459" s="31"/>
    </row>
    <row r="460" spans="1:28" ht="13.2" x14ac:dyDescent="0.25">
      <c r="A460" s="31"/>
      <c r="B460" s="52"/>
      <c r="C460" s="58"/>
      <c r="D460" s="55"/>
      <c r="E460" s="32"/>
      <c r="F460" s="31"/>
      <c r="G460" s="31"/>
      <c r="H460" s="32"/>
      <c r="I460" s="32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31"/>
      <c r="AB460" s="31"/>
    </row>
    <row r="461" spans="1:28" ht="13.2" x14ac:dyDescent="0.25">
      <c r="A461" s="31"/>
      <c r="B461" s="52"/>
      <c r="C461" s="58"/>
      <c r="D461" s="55"/>
      <c r="E461" s="32"/>
      <c r="F461" s="31"/>
      <c r="G461" s="31"/>
      <c r="H461" s="32"/>
      <c r="I461" s="32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31"/>
      <c r="AB461" s="31"/>
    </row>
    <row r="462" spans="1:28" ht="13.2" x14ac:dyDescent="0.25">
      <c r="A462" s="31"/>
      <c r="B462" s="52"/>
      <c r="C462" s="58"/>
      <c r="D462" s="55"/>
      <c r="E462" s="32"/>
      <c r="F462" s="31"/>
      <c r="G462" s="31"/>
      <c r="H462" s="32"/>
      <c r="I462" s="32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31"/>
      <c r="AB462" s="31"/>
    </row>
    <row r="463" spans="1:28" ht="13.2" x14ac:dyDescent="0.25">
      <c r="A463" s="31"/>
      <c r="B463" s="52"/>
      <c r="C463" s="58"/>
      <c r="D463" s="55"/>
      <c r="E463" s="32"/>
      <c r="F463" s="31"/>
      <c r="G463" s="31"/>
      <c r="H463" s="32"/>
      <c r="I463" s="32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31"/>
      <c r="AB463" s="31"/>
    </row>
    <row r="464" spans="1:28" ht="13.2" x14ac:dyDescent="0.25">
      <c r="A464" s="31"/>
      <c r="B464" s="52"/>
      <c r="C464" s="58"/>
      <c r="D464" s="55"/>
      <c r="E464" s="32"/>
      <c r="F464" s="31"/>
      <c r="G464" s="31"/>
      <c r="H464" s="32"/>
      <c r="I464" s="32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31"/>
      <c r="AB464" s="31"/>
    </row>
    <row r="465" spans="1:28" ht="13.2" x14ac:dyDescent="0.25">
      <c r="A465" s="31"/>
      <c r="B465" s="52"/>
      <c r="C465" s="58"/>
      <c r="D465" s="55"/>
      <c r="E465" s="32"/>
      <c r="F465" s="31"/>
      <c r="G465" s="31"/>
      <c r="H465" s="32"/>
      <c r="I465" s="32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31"/>
      <c r="AB465" s="31"/>
    </row>
    <row r="466" spans="1:28" ht="13.2" x14ac:dyDescent="0.25">
      <c r="A466" s="31"/>
      <c r="B466" s="52"/>
      <c r="C466" s="58"/>
      <c r="D466" s="55"/>
      <c r="E466" s="32"/>
      <c r="F466" s="31"/>
      <c r="G466" s="31"/>
      <c r="H466" s="32"/>
      <c r="I466" s="32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31"/>
      <c r="AB466" s="31"/>
    </row>
    <row r="467" spans="1:28" ht="13.2" x14ac:dyDescent="0.25">
      <c r="A467" s="31"/>
      <c r="B467" s="52"/>
      <c r="C467" s="58"/>
      <c r="D467" s="55"/>
      <c r="E467" s="32"/>
      <c r="F467" s="31"/>
      <c r="G467" s="31"/>
      <c r="H467" s="32"/>
      <c r="I467" s="32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31"/>
      <c r="AB467" s="31"/>
    </row>
    <row r="468" spans="1:28" ht="13.2" x14ac:dyDescent="0.25">
      <c r="A468" s="31"/>
      <c r="B468" s="52"/>
      <c r="C468" s="58"/>
      <c r="D468" s="55"/>
      <c r="E468" s="32"/>
      <c r="F468" s="31"/>
      <c r="G468" s="31"/>
      <c r="H468" s="32"/>
      <c r="I468" s="32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31"/>
      <c r="AB468" s="31"/>
    </row>
    <row r="469" spans="1:28" ht="13.2" x14ac:dyDescent="0.25">
      <c r="A469" s="31"/>
      <c r="B469" s="52"/>
      <c r="C469" s="58"/>
      <c r="D469" s="55"/>
      <c r="E469" s="32"/>
      <c r="F469" s="31"/>
      <c r="G469" s="31"/>
      <c r="H469" s="32"/>
      <c r="I469" s="32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31"/>
      <c r="AB469" s="31"/>
    </row>
    <row r="470" spans="1:28" ht="13.2" x14ac:dyDescent="0.25">
      <c r="A470" s="31"/>
      <c r="B470" s="52"/>
      <c r="C470" s="58"/>
      <c r="D470" s="55"/>
      <c r="E470" s="32"/>
      <c r="F470" s="31"/>
      <c r="G470" s="31"/>
      <c r="H470" s="32"/>
      <c r="I470" s="32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31"/>
      <c r="AB470" s="31"/>
    </row>
    <row r="471" spans="1:28" ht="13.2" x14ac:dyDescent="0.25">
      <c r="A471" s="31"/>
      <c r="B471" s="52"/>
      <c r="C471" s="58"/>
      <c r="D471" s="55"/>
      <c r="E471" s="32"/>
      <c r="F471" s="31"/>
      <c r="G471" s="31"/>
      <c r="H471" s="32"/>
      <c r="I471" s="32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31"/>
      <c r="AB471" s="31"/>
    </row>
    <row r="472" spans="1:28" ht="13.2" x14ac:dyDescent="0.25">
      <c r="A472" s="31"/>
      <c r="B472" s="52"/>
      <c r="C472" s="58"/>
      <c r="D472" s="55"/>
      <c r="E472" s="32"/>
      <c r="F472" s="31"/>
      <c r="G472" s="31"/>
      <c r="H472" s="32"/>
      <c r="I472" s="32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31"/>
      <c r="AB472" s="31"/>
    </row>
    <row r="473" spans="1:28" ht="13.2" x14ac:dyDescent="0.25">
      <c r="A473" s="31"/>
      <c r="B473" s="52"/>
      <c r="C473" s="58"/>
      <c r="D473" s="55"/>
      <c r="E473" s="32"/>
      <c r="F473" s="31"/>
      <c r="G473" s="31"/>
      <c r="H473" s="32"/>
      <c r="I473" s="32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31"/>
      <c r="AB473" s="31"/>
    </row>
    <row r="474" spans="1:28" ht="13.2" x14ac:dyDescent="0.25">
      <c r="A474" s="31"/>
      <c r="B474" s="52"/>
      <c r="C474" s="58"/>
      <c r="D474" s="55"/>
      <c r="E474" s="32"/>
      <c r="F474" s="31"/>
      <c r="G474" s="31"/>
      <c r="H474" s="32"/>
      <c r="I474" s="32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31"/>
      <c r="AB474" s="31"/>
    </row>
    <row r="475" spans="1:28" ht="13.2" x14ac:dyDescent="0.25">
      <c r="A475" s="31"/>
      <c r="B475" s="52"/>
      <c r="C475" s="58"/>
      <c r="D475" s="55"/>
      <c r="E475" s="32"/>
      <c r="F475" s="31"/>
      <c r="G475" s="31"/>
      <c r="H475" s="32"/>
      <c r="I475" s="32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31"/>
      <c r="AB475" s="31"/>
    </row>
    <row r="476" spans="1:28" ht="13.2" x14ac:dyDescent="0.25">
      <c r="A476" s="31"/>
      <c r="B476" s="52"/>
      <c r="C476" s="58"/>
      <c r="D476" s="55"/>
      <c r="E476" s="32"/>
      <c r="F476" s="31"/>
      <c r="G476" s="31"/>
      <c r="H476" s="32"/>
      <c r="I476" s="32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31"/>
      <c r="AB476" s="31"/>
    </row>
    <row r="477" spans="1:28" ht="13.2" x14ac:dyDescent="0.25">
      <c r="A477" s="31"/>
      <c r="B477" s="52"/>
      <c r="C477" s="58"/>
      <c r="D477" s="55"/>
      <c r="E477" s="32"/>
      <c r="F477" s="31"/>
      <c r="G477" s="31"/>
      <c r="H477" s="32"/>
      <c r="I477" s="32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31"/>
      <c r="AB477" s="31"/>
    </row>
    <row r="478" spans="1:28" ht="13.2" x14ac:dyDescent="0.25">
      <c r="A478" s="31"/>
      <c r="B478" s="52"/>
      <c r="C478" s="58"/>
      <c r="D478" s="55"/>
      <c r="E478" s="32"/>
      <c r="F478" s="31"/>
      <c r="G478" s="31"/>
      <c r="H478" s="32"/>
      <c r="I478" s="32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31"/>
      <c r="AB478" s="31"/>
    </row>
    <row r="479" spans="1:28" ht="13.2" x14ac:dyDescent="0.25">
      <c r="A479" s="31"/>
      <c r="B479" s="52"/>
      <c r="C479" s="58"/>
      <c r="D479" s="55"/>
      <c r="E479" s="32"/>
      <c r="F479" s="31"/>
      <c r="G479" s="31"/>
      <c r="H479" s="32"/>
      <c r="I479" s="32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31"/>
      <c r="AB479" s="31"/>
    </row>
    <row r="480" spans="1:28" ht="13.2" x14ac:dyDescent="0.25">
      <c r="A480" s="31"/>
      <c r="B480" s="52"/>
      <c r="C480" s="58"/>
      <c r="D480" s="55"/>
      <c r="E480" s="32"/>
      <c r="F480" s="31"/>
      <c r="G480" s="31"/>
      <c r="H480" s="32"/>
      <c r="I480" s="32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31"/>
      <c r="AB480" s="31"/>
    </row>
    <row r="481" spans="1:28" ht="13.2" x14ac:dyDescent="0.25">
      <c r="A481" s="31"/>
      <c r="B481" s="52"/>
      <c r="C481" s="58"/>
      <c r="D481" s="55"/>
      <c r="E481" s="32"/>
      <c r="F481" s="31"/>
      <c r="G481" s="31"/>
      <c r="H481" s="32"/>
      <c r="I481" s="32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31"/>
      <c r="AB481" s="31"/>
    </row>
    <row r="482" spans="1:28" ht="13.2" x14ac:dyDescent="0.25">
      <c r="A482" s="31"/>
      <c r="B482" s="52"/>
      <c r="C482" s="58"/>
      <c r="D482" s="55"/>
      <c r="E482" s="32"/>
      <c r="F482" s="31"/>
      <c r="G482" s="31"/>
      <c r="H482" s="32"/>
      <c r="I482" s="32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31"/>
      <c r="AB482" s="31"/>
    </row>
    <row r="483" spans="1:28" ht="13.2" x14ac:dyDescent="0.25">
      <c r="A483" s="31"/>
      <c r="B483" s="52"/>
      <c r="C483" s="58"/>
      <c r="D483" s="55"/>
      <c r="E483" s="32"/>
      <c r="F483" s="31"/>
      <c r="G483" s="31"/>
      <c r="H483" s="32"/>
      <c r="I483" s="32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31"/>
      <c r="AB483" s="31"/>
    </row>
    <row r="484" spans="1:28" ht="13.2" x14ac:dyDescent="0.25">
      <c r="A484" s="31"/>
      <c r="B484" s="52"/>
      <c r="C484" s="58"/>
      <c r="D484" s="55"/>
      <c r="E484" s="32"/>
      <c r="F484" s="31"/>
      <c r="G484" s="31"/>
      <c r="H484" s="32"/>
      <c r="I484" s="32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31"/>
      <c r="AB484" s="31"/>
    </row>
    <row r="485" spans="1:28" ht="13.2" x14ac:dyDescent="0.25">
      <c r="A485" s="31"/>
      <c r="B485" s="52"/>
      <c r="C485" s="58"/>
      <c r="D485" s="55"/>
      <c r="E485" s="32"/>
      <c r="F485" s="31"/>
      <c r="G485" s="31"/>
      <c r="H485" s="32"/>
      <c r="I485" s="32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31"/>
      <c r="AB485" s="31"/>
    </row>
    <row r="486" spans="1:28" ht="13.2" x14ac:dyDescent="0.25">
      <c r="A486" s="31"/>
      <c r="B486" s="52"/>
      <c r="C486" s="58"/>
      <c r="D486" s="55"/>
      <c r="E486" s="32"/>
      <c r="F486" s="31"/>
      <c r="G486" s="31"/>
      <c r="H486" s="32"/>
      <c r="I486" s="32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31"/>
      <c r="AB486" s="31"/>
    </row>
    <row r="487" spans="1:28" ht="13.2" x14ac:dyDescent="0.25">
      <c r="A487" s="31"/>
      <c r="B487" s="52"/>
      <c r="C487" s="58"/>
      <c r="D487" s="55"/>
      <c r="E487" s="32"/>
      <c r="F487" s="31"/>
      <c r="G487" s="31"/>
      <c r="H487" s="32"/>
      <c r="I487" s="32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31"/>
      <c r="AB487" s="31"/>
    </row>
    <row r="488" spans="1:28" ht="13.2" x14ac:dyDescent="0.25">
      <c r="A488" s="31"/>
      <c r="B488" s="52"/>
      <c r="C488" s="58"/>
      <c r="D488" s="55"/>
      <c r="E488" s="32"/>
      <c r="F488" s="31"/>
      <c r="G488" s="31"/>
      <c r="H488" s="32"/>
      <c r="I488" s="32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31"/>
      <c r="AB488" s="31"/>
    </row>
    <row r="489" spans="1:28" ht="13.2" x14ac:dyDescent="0.25">
      <c r="A489" s="31"/>
      <c r="B489" s="52"/>
      <c r="C489" s="58"/>
      <c r="D489" s="55"/>
      <c r="E489" s="32"/>
      <c r="F489" s="31"/>
      <c r="G489" s="31"/>
      <c r="H489" s="32"/>
      <c r="I489" s="32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31"/>
      <c r="AB489" s="31"/>
    </row>
    <row r="490" spans="1:28" ht="13.2" x14ac:dyDescent="0.25">
      <c r="A490" s="31"/>
      <c r="B490" s="52"/>
      <c r="C490" s="58"/>
      <c r="D490" s="55"/>
      <c r="E490" s="32"/>
      <c r="F490" s="31"/>
      <c r="G490" s="31"/>
      <c r="H490" s="32"/>
      <c r="I490" s="32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31"/>
      <c r="AB490" s="31"/>
    </row>
    <row r="491" spans="1:28" ht="13.2" x14ac:dyDescent="0.25">
      <c r="A491" s="31"/>
      <c r="B491" s="52"/>
      <c r="C491" s="58"/>
      <c r="D491" s="55"/>
      <c r="E491" s="32"/>
      <c r="F491" s="31"/>
      <c r="G491" s="31"/>
      <c r="H491" s="32"/>
      <c r="I491" s="32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31"/>
      <c r="AB491" s="31"/>
    </row>
    <row r="492" spans="1:28" ht="13.2" x14ac:dyDescent="0.25">
      <c r="A492" s="31"/>
      <c r="B492" s="52"/>
      <c r="C492" s="58"/>
      <c r="D492" s="55"/>
      <c r="E492" s="32"/>
      <c r="F492" s="31"/>
      <c r="G492" s="31"/>
      <c r="H492" s="32"/>
      <c r="I492" s="32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31"/>
      <c r="AB492" s="31"/>
    </row>
    <row r="493" spans="1:28" ht="13.2" x14ac:dyDescent="0.25">
      <c r="A493" s="31"/>
      <c r="B493" s="52"/>
      <c r="C493" s="58"/>
      <c r="D493" s="55"/>
      <c r="E493" s="32"/>
      <c r="F493" s="31"/>
      <c r="G493" s="31"/>
      <c r="H493" s="32"/>
      <c r="I493" s="32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31"/>
      <c r="AB493" s="31"/>
    </row>
    <row r="494" spans="1:28" ht="13.2" x14ac:dyDescent="0.25">
      <c r="A494" s="31"/>
      <c r="B494" s="52"/>
      <c r="C494" s="58"/>
      <c r="D494" s="55"/>
      <c r="E494" s="32"/>
      <c r="F494" s="31"/>
      <c r="G494" s="31"/>
      <c r="H494" s="32"/>
      <c r="I494" s="32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31"/>
      <c r="AB494" s="31"/>
    </row>
    <row r="495" spans="1:28" ht="13.2" x14ac:dyDescent="0.25">
      <c r="A495" s="31"/>
      <c r="B495" s="52"/>
      <c r="C495" s="58"/>
      <c r="D495" s="55"/>
      <c r="E495" s="32"/>
      <c r="F495" s="31"/>
      <c r="G495" s="31"/>
      <c r="H495" s="32"/>
      <c r="I495" s="32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31"/>
      <c r="AB495" s="31"/>
    </row>
    <row r="496" spans="1:28" ht="13.2" x14ac:dyDescent="0.25">
      <c r="A496" s="31"/>
      <c r="B496" s="52"/>
      <c r="C496" s="58"/>
      <c r="D496" s="55"/>
      <c r="E496" s="32"/>
      <c r="F496" s="31"/>
      <c r="G496" s="31"/>
      <c r="H496" s="32"/>
      <c r="I496" s="32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31"/>
      <c r="AB496" s="31"/>
    </row>
    <row r="497" spans="1:28" ht="13.2" x14ac:dyDescent="0.25">
      <c r="A497" s="31"/>
      <c r="B497" s="52"/>
      <c r="C497" s="58"/>
      <c r="D497" s="55"/>
      <c r="E497" s="32"/>
      <c r="F497" s="31"/>
      <c r="G497" s="31"/>
      <c r="H497" s="32"/>
      <c r="I497" s="32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31"/>
      <c r="AB497" s="31"/>
    </row>
    <row r="498" spans="1:28" ht="13.2" x14ac:dyDescent="0.25">
      <c r="A498" s="31"/>
      <c r="B498" s="52"/>
      <c r="C498" s="58"/>
      <c r="D498" s="55"/>
      <c r="E498" s="32"/>
      <c r="F498" s="31"/>
      <c r="G498" s="31"/>
      <c r="H498" s="32"/>
      <c r="I498" s="32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31"/>
      <c r="AB498" s="31"/>
    </row>
    <row r="499" spans="1:28" ht="13.2" x14ac:dyDescent="0.25">
      <c r="A499" s="31"/>
      <c r="B499" s="52"/>
      <c r="C499" s="58"/>
      <c r="D499" s="55"/>
      <c r="E499" s="32"/>
      <c r="F499" s="31"/>
      <c r="G499" s="31"/>
      <c r="H499" s="32"/>
      <c r="I499" s="32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31"/>
      <c r="AB499" s="31"/>
    </row>
    <row r="500" spans="1:28" ht="13.2" x14ac:dyDescent="0.25">
      <c r="A500" s="31"/>
      <c r="B500" s="52"/>
      <c r="C500" s="58"/>
      <c r="D500" s="55"/>
      <c r="E500" s="32"/>
      <c r="F500" s="31"/>
      <c r="G500" s="31"/>
      <c r="H500" s="32"/>
      <c r="I500" s="32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31"/>
      <c r="AB500" s="31"/>
    </row>
    <row r="501" spans="1:28" ht="13.2" x14ac:dyDescent="0.25">
      <c r="A501" s="31"/>
      <c r="B501" s="52"/>
      <c r="C501" s="58"/>
      <c r="D501" s="55"/>
      <c r="E501" s="32"/>
      <c r="F501" s="31"/>
      <c r="G501" s="31"/>
      <c r="H501" s="32"/>
      <c r="I501" s="32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31"/>
      <c r="AB501" s="31"/>
    </row>
    <row r="502" spans="1:28" ht="13.2" x14ac:dyDescent="0.25">
      <c r="A502" s="31"/>
      <c r="B502" s="52"/>
      <c r="C502" s="58"/>
      <c r="D502" s="55"/>
      <c r="E502" s="32"/>
      <c r="F502" s="31"/>
      <c r="G502" s="31"/>
      <c r="H502" s="32"/>
      <c r="I502" s="32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31"/>
      <c r="AB502" s="31"/>
    </row>
    <row r="503" spans="1:28" ht="13.2" x14ac:dyDescent="0.25">
      <c r="A503" s="31"/>
      <c r="B503" s="52"/>
      <c r="C503" s="58"/>
      <c r="D503" s="55"/>
      <c r="E503" s="32"/>
      <c r="F503" s="31"/>
      <c r="G503" s="31"/>
      <c r="H503" s="32"/>
      <c r="I503" s="32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31"/>
      <c r="AB503" s="31"/>
    </row>
    <row r="504" spans="1:28" ht="13.2" x14ac:dyDescent="0.25">
      <c r="A504" s="31"/>
      <c r="B504" s="52"/>
      <c r="C504" s="58"/>
      <c r="D504" s="55"/>
      <c r="E504" s="32"/>
      <c r="F504" s="31"/>
      <c r="G504" s="31"/>
      <c r="H504" s="32"/>
      <c r="I504" s="32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31"/>
      <c r="AB504" s="31"/>
    </row>
    <row r="505" spans="1:28" ht="13.2" x14ac:dyDescent="0.25">
      <c r="A505" s="31"/>
      <c r="B505" s="52"/>
      <c r="C505" s="58"/>
      <c r="D505" s="55"/>
      <c r="E505" s="32"/>
      <c r="F505" s="31"/>
      <c r="G505" s="31"/>
      <c r="H505" s="32"/>
      <c r="I505" s="32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31"/>
      <c r="AB505" s="31"/>
    </row>
    <row r="506" spans="1:28" ht="13.2" x14ac:dyDescent="0.25">
      <c r="A506" s="31"/>
      <c r="B506" s="52"/>
      <c r="C506" s="58"/>
      <c r="D506" s="55"/>
      <c r="E506" s="32"/>
      <c r="F506" s="31"/>
      <c r="G506" s="31"/>
      <c r="H506" s="32"/>
      <c r="I506" s="32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31"/>
      <c r="AB506" s="31"/>
    </row>
    <row r="507" spans="1:28" ht="13.2" x14ac:dyDescent="0.25">
      <c r="A507" s="31"/>
      <c r="B507" s="52"/>
      <c r="C507" s="58"/>
      <c r="D507" s="55"/>
      <c r="E507" s="32"/>
      <c r="F507" s="31"/>
      <c r="G507" s="31"/>
      <c r="H507" s="32"/>
      <c r="I507" s="32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31"/>
      <c r="AB507" s="31"/>
    </row>
    <row r="508" spans="1:28" ht="13.2" x14ac:dyDescent="0.25">
      <c r="A508" s="31"/>
      <c r="B508" s="52"/>
      <c r="C508" s="58"/>
      <c r="D508" s="55"/>
      <c r="E508" s="32"/>
      <c r="F508" s="31"/>
      <c r="G508" s="31"/>
      <c r="H508" s="32"/>
      <c r="I508" s="32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31"/>
      <c r="AB508" s="31"/>
    </row>
    <row r="509" spans="1:28" ht="13.2" x14ac:dyDescent="0.25">
      <c r="A509" s="31"/>
      <c r="B509" s="52"/>
      <c r="C509" s="58"/>
      <c r="D509" s="55"/>
      <c r="E509" s="32"/>
      <c r="F509" s="31"/>
      <c r="G509" s="31"/>
      <c r="H509" s="32"/>
      <c r="I509" s="32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31"/>
      <c r="AB509" s="31"/>
    </row>
    <row r="510" spans="1:28" ht="13.2" x14ac:dyDescent="0.25">
      <c r="A510" s="31"/>
      <c r="B510" s="52"/>
      <c r="C510" s="58"/>
      <c r="D510" s="55"/>
      <c r="E510" s="32"/>
      <c r="F510" s="31"/>
      <c r="G510" s="31"/>
      <c r="H510" s="32"/>
      <c r="I510" s="32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31"/>
      <c r="AB510" s="31"/>
    </row>
    <row r="511" spans="1:28" ht="13.2" x14ac:dyDescent="0.25">
      <c r="A511" s="31"/>
      <c r="B511" s="52"/>
      <c r="C511" s="58"/>
      <c r="D511" s="55"/>
      <c r="E511" s="32"/>
      <c r="F511" s="31"/>
      <c r="G511" s="31"/>
      <c r="H511" s="32"/>
      <c r="I511" s="32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31"/>
      <c r="AB511" s="31"/>
    </row>
    <row r="512" spans="1:28" ht="13.2" x14ac:dyDescent="0.25">
      <c r="A512" s="31"/>
      <c r="B512" s="52"/>
      <c r="C512" s="58"/>
      <c r="D512" s="55"/>
      <c r="E512" s="32"/>
      <c r="F512" s="31"/>
      <c r="G512" s="31"/>
      <c r="H512" s="32"/>
      <c r="I512" s="32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31"/>
      <c r="AB512" s="31"/>
    </row>
    <row r="513" spans="1:28" ht="13.2" x14ac:dyDescent="0.25">
      <c r="A513" s="31"/>
      <c r="B513" s="52"/>
      <c r="C513" s="58"/>
      <c r="D513" s="55"/>
      <c r="E513" s="32"/>
      <c r="F513" s="31"/>
      <c r="G513" s="31"/>
      <c r="H513" s="32"/>
      <c r="I513" s="32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31"/>
      <c r="AB513" s="31"/>
    </row>
    <row r="514" spans="1:28" ht="13.2" x14ac:dyDescent="0.25">
      <c r="A514" s="31"/>
      <c r="B514" s="52"/>
      <c r="C514" s="58"/>
      <c r="D514" s="55"/>
      <c r="E514" s="32"/>
      <c r="F514" s="31"/>
      <c r="G514" s="31"/>
      <c r="H514" s="32"/>
      <c r="I514" s="32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31"/>
      <c r="AB514" s="31"/>
    </row>
    <row r="515" spans="1:28" ht="13.2" x14ac:dyDescent="0.25">
      <c r="A515" s="31"/>
      <c r="B515" s="52"/>
      <c r="C515" s="58"/>
      <c r="D515" s="55"/>
      <c r="E515" s="32"/>
      <c r="F515" s="31"/>
      <c r="G515" s="31"/>
      <c r="H515" s="32"/>
      <c r="I515" s="32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31"/>
      <c r="AB515" s="31"/>
    </row>
    <row r="516" spans="1:28" ht="13.2" x14ac:dyDescent="0.25">
      <c r="A516" s="31"/>
      <c r="B516" s="52"/>
      <c r="C516" s="58"/>
      <c r="D516" s="55"/>
      <c r="E516" s="32"/>
      <c r="F516" s="31"/>
      <c r="G516" s="31"/>
      <c r="H516" s="32"/>
      <c r="I516" s="32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31"/>
      <c r="AB516" s="31"/>
    </row>
    <row r="517" spans="1:28" ht="13.2" x14ac:dyDescent="0.25">
      <c r="A517" s="31"/>
      <c r="B517" s="52"/>
      <c r="C517" s="58"/>
      <c r="D517" s="55"/>
      <c r="E517" s="32"/>
      <c r="F517" s="31"/>
      <c r="G517" s="31"/>
      <c r="H517" s="32"/>
      <c r="I517" s="32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31"/>
      <c r="AB517" s="31"/>
    </row>
    <row r="518" spans="1:28" ht="13.2" x14ac:dyDescent="0.25">
      <c r="A518" s="31"/>
      <c r="B518" s="52"/>
      <c r="C518" s="58"/>
      <c r="D518" s="55"/>
      <c r="E518" s="32"/>
      <c r="F518" s="31"/>
      <c r="G518" s="31"/>
      <c r="H518" s="32"/>
      <c r="I518" s="32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31"/>
      <c r="AB518" s="31"/>
    </row>
    <row r="519" spans="1:28" ht="13.2" x14ac:dyDescent="0.25">
      <c r="A519" s="31"/>
      <c r="B519" s="52"/>
      <c r="C519" s="58"/>
      <c r="D519" s="55"/>
      <c r="E519" s="32"/>
      <c r="F519" s="31"/>
      <c r="G519" s="31"/>
      <c r="H519" s="32"/>
      <c r="I519" s="32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31"/>
      <c r="AB519" s="31"/>
    </row>
    <row r="520" spans="1:28" ht="13.2" x14ac:dyDescent="0.25">
      <c r="A520" s="31"/>
      <c r="B520" s="52"/>
      <c r="C520" s="58"/>
      <c r="D520" s="55"/>
      <c r="E520" s="32"/>
      <c r="F520" s="31"/>
      <c r="G520" s="31"/>
      <c r="H520" s="32"/>
      <c r="I520" s="32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31"/>
      <c r="AB520" s="31"/>
    </row>
    <row r="521" spans="1:28" ht="13.2" x14ac:dyDescent="0.25">
      <c r="A521" s="31"/>
      <c r="B521" s="52"/>
      <c r="C521" s="58"/>
      <c r="D521" s="55"/>
      <c r="E521" s="32"/>
      <c r="F521" s="31"/>
      <c r="G521" s="31"/>
      <c r="H521" s="32"/>
      <c r="I521" s="32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31"/>
      <c r="AB521" s="31"/>
    </row>
    <row r="522" spans="1:28" ht="13.2" x14ac:dyDescent="0.25">
      <c r="A522" s="31"/>
      <c r="B522" s="52"/>
      <c r="C522" s="58"/>
      <c r="D522" s="55"/>
      <c r="E522" s="32"/>
      <c r="F522" s="31"/>
      <c r="G522" s="31"/>
      <c r="H522" s="32"/>
      <c r="I522" s="32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31"/>
      <c r="AB522" s="31"/>
    </row>
    <row r="523" spans="1:28" ht="13.2" x14ac:dyDescent="0.25">
      <c r="A523" s="31"/>
      <c r="B523" s="52"/>
      <c r="C523" s="58"/>
      <c r="D523" s="55"/>
      <c r="E523" s="32"/>
      <c r="F523" s="31"/>
      <c r="G523" s="31"/>
      <c r="H523" s="32"/>
      <c r="I523" s="32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31"/>
      <c r="AB523" s="31"/>
    </row>
    <row r="524" spans="1:28" ht="13.2" x14ac:dyDescent="0.25">
      <c r="A524" s="31"/>
      <c r="B524" s="52"/>
      <c r="C524" s="58"/>
      <c r="D524" s="55"/>
      <c r="E524" s="32"/>
      <c r="F524" s="31"/>
      <c r="G524" s="31"/>
      <c r="H524" s="32"/>
      <c r="I524" s="32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31"/>
      <c r="AB524" s="31"/>
    </row>
    <row r="525" spans="1:28" ht="13.2" x14ac:dyDescent="0.25">
      <c r="A525" s="31"/>
      <c r="B525" s="52"/>
      <c r="C525" s="58"/>
      <c r="D525" s="55"/>
      <c r="E525" s="32"/>
      <c r="F525" s="31"/>
      <c r="G525" s="31"/>
      <c r="H525" s="32"/>
      <c r="I525" s="32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31"/>
      <c r="AB525" s="31"/>
    </row>
    <row r="526" spans="1:28" ht="13.2" x14ac:dyDescent="0.25">
      <c r="A526" s="31"/>
      <c r="B526" s="52"/>
      <c r="C526" s="58"/>
      <c r="D526" s="55"/>
      <c r="E526" s="32"/>
      <c r="F526" s="31"/>
      <c r="G526" s="31"/>
      <c r="H526" s="32"/>
      <c r="I526" s="32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31"/>
      <c r="AB526" s="31"/>
    </row>
    <row r="527" spans="1:28" ht="13.2" x14ac:dyDescent="0.25">
      <c r="A527" s="31"/>
      <c r="B527" s="52"/>
      <c r="C527" s="58"/>
      <c r="D527" s="55"/>
      <c r="E527" s="32"/>
      <c r="F527" s="31"/>
      <c r="G527" s="31"/>
      <c r="H527" s="32"/>
      <c r="I527" s="32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31"/>
      <c r="AB527" s="31"/>
    </row>
    <row r="528" spans="1:28" ht="13.2" x14ac:dyDescent="0.25">
      <c r="A528" s="31"/>
      <c r="B528" s="52"/>
      <c r="C528" s="58"/>
      <c r="D528" s="55"/>
      <c r="E528" s="32"/>
      <c r="F528" s="31"/>
      <c r="G528" s="31"/>
      <c r="H528" s="32"/>
      <c r="I528" s="32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31"/>
      <c r="AB528" s="31"/>
    </row>
    <row r="529" spans="1:28" ht="13.2" x14ac:dyDescent="0.25">
      <c r="A529" s="31"/>
      <c r="B529" s="52"/>
      <c r="C529" s="58"/>
      <c r="D529" s="55"/>
      <c r="E529" s="32"/>
      <c r="F529" s="31"/>
      <c r="G529" s="31"/>
      <c r="H529" s="32"/>
      <c r="I529" s="32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31"/>
      <c r="AB529" s="31"/>
    </row>
    <row r="530" spans="1:28" ht="13.2" x14ac:dyDescent="0.25">
      <c r="A530" s="31"/>
      <c r="B530" s="52"/>
      <c r="C530" s="58"/>
      <c r="D530" s="55"/>
      <c r="E530" s="32"/>
      <c r="F530" s="31"/>
      <c r="G530" s="31"/>
      <c r="H530" s="32"/>
      <c r="I530" s="32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31"/>
      <c r="AB530" s="31"/>
    </row>
    <row r="531" spans="1:28" ht="13.2" x14ac:dyDescent="0.25">
      <c r="A531" s="31"/>
      <c r="B531" s="52"/>
      <c r="C531" s="58"/>
      <c r="D531" s="55"/>
      <c r="E531" s="32"/>
      <c r="F531" s="31"/>
      <c r="G531" s="31"/>
      <c r="H531" s="32"/>
      <c r="I531" s="32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31"/>
      <c r="AB531" s="31"/>
    </row>
    <row r="532" spans="1:28" ht="13.2" x14ac:dyDescent="0.25">
      <c r="A532" s="31"/>
      <c r="B532" s="52"/>
      <c r="C532" s="58"/>
      <c r="D532" s="55"/>
      <c r="E532" s="32"/>
      <c r="F532" s="31"/>
      <c r="G532" s="31"/>
      <c r="H532" s="32"/>
      <c r="I532" s="32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31"/>
      <c r="AB532" s="31"/>
    </row>
    <row r="533" spans="1:28" ht="13.2" x14ac:dyDescent="0.25">
      <c r="A533" s="31"/>
      <c r="B533" s="52"/>
      <c r="C533" s="58"/>
      <c r="D533" s="55"/>
      <c r="E533" s="32"/>
      <c r="F533" s="31"/>
      <c r="G533" s="31"/>
      <c r="H533" s="32"/>
      <c r="I533" s="32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31"/>
      <c r="AB533" s="31"/>
    </row>
    <row r="534" spans="1:28" ht="13.2" x14ac:dyDescent="0.25">
      <c r="A534" s="31"/>
      <c r="B534" s="52"/>
      <c r="C534" s="58"/>
      <c r="D534" s="55"/>
      <c r="E534" s="32"/>
      <c r="F534" s="31"/>
      <c r="G534" s="31"/>
      <c r="H534" s="32"/>
      <c r="I534" s="32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31"/>
      <c r="AB534" s="31"/>
    </row>
    <row r="535" spans="1:28" ht="13.2" x14ac:dyDescent="0.25">
      <c r="A535" s="31"/>
      <c r="B535" s="52"/>
      <c r="C535" s="58"/>
      <c r="D535" s="55"/>
      <c r="E535" s="32"/>
      <c r="F535" s="31"/>
      <c r="G535" s="31"/>
      <c r="H535" s="32"/>
      <c r="I535" s="32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31"/>
      <c r="AB535" s="31"/>
    </row>
    <row r="536" spans="1:28" ht="13.2" x14ac:dyDescent="0.25">
      <c r="A536" s="31"/>
      <c r="B536" s="52"/>
      <c r="C536" s="58"/>
      <c r="D536" s="55"/>
      <c r="E536" s="32"/>
      <c r="F536" s="31"/>
      <c r="G536" s="31"/>
      <c r="H536" s="32"/>
      <c r="I536" s="32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31"/>
      <c r="AB536" s="31"/>
    </row>
    <row r="537" spans="1:28" ht="13.2" x14ac:dyDescent="0.25">
      <c r="A537" s="31"/>
      <c r="B537" s="52"/>
      <c r="C537" s="58"/>
      <c r="D537" s="55"/>
      <c r="E537" s="32"/>
      <c r="F537" s="31"/>
      <c r="G537" s="31"/>
      <c r="H537" s="32"/>
      <c r="I537" s="32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31"/>
      <c r="AB537" s="31"/>
    </row>
    <row r="538" spans="1:28" ht="13.2" x14ac:dyDescent="0.25">
      <c r="A538" s="31"/>
      <c r="B538" s="52"/>
      <c r="C538" s="58"/>
      <c r="D538" s="55"/>
      <c r="E538" s="32"/>
      <c r="F538" s="31"/>
      <c r="G538" s="31"/>
      <c r="H538" s="32"/>
      <c r="I538" s="32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31"/>
      <c r="AB538" s="31"/>
    </row>
    <row r="539" spans="1:28" ht="13.2" x14ac:dyDescent="0.25">
      <c r="A539" s="31"/>
      <c r="B539" s="52"/>
      <c r="C539" s="58"/>
      <c r="D539" s="55"/>
      <c r="E539" s="32"/>
      <c r="F539" s="31"/>
      <c r="G539" s="31"/>
      <c r="H539" s="32"/>
      <c r="I539" s="32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31"/>
      <c r="AB539" s="31"/>
    </row>
    <row r="540" spans="1:28" ht="13.2" x14ac:dyDescent="0.25">
      <c r="A540" s="31"/>
      <c r="B540" s="52"/>
      <c r="C540" s="58"/>
      <c r="D540" s="55"/>
      <c r="E540" s="32"/>
      <c r="F540" s="31"/>
      <c r="G540" s="31"/>
      <c r="H540" s="32"/>
      <c r="I540" s="32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31"/>
      <c r="AB540" s="31"/>
    </row>
    <row r="541" spans="1:28" ht="13.2" x14ac:dyDescent="0.25">
      <c r="A541" s="31"/>
      <c r="B541" s="52"/>
      <c r="C541" s="58"/>
      <c r="D541" s="55"/>
      <c r="E541" s="32"/>
      <c r="F541" s="31"/>
      <c r="G541" s="31"/>
      <c r="H541" s="32"/>
      <c r="I541" s="32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31"/>
      <c r="AB541" s="31"/>
    </row>
    <row r="542" spans="1:28" ht="13.2" x14ac:dyDescent="0.25">
      <c r="A542" s="31"/>
      <c r="B542" s="52"/>
      <c r="C542" s="58"/>
      <c r="D542" s="55"/>
      <c r="E542" s="32"/>
      <c r="F542" s="31"/>
      <c r="G542" s="31"/>
      <c r="H542" s="32"/>
      <c r="I542" s="32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31"/>
      <c r="AB542" s="31"/>
    </row>
    <row r="543" spans="1:28" ht="13.2" x14ac:dyDescent="0.25">
      <c r="A543" s="31"/>
      <c r="B543" s="52"/>
      <c r="C543" s="58"/>
      <c r="D543" s="55"/>
      <c r="E543" s="32"/>
      <c r="F543" s="31"/>
      <c r="G543" s="31"/>
      <c r="H543" s="32"/>
      <c r="I543" s="32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31"/>
      <c r="AB543" s="31"/>
    </row>
    <row r="544" spans="1:28" ht="13.2" x14ac:dyDescent="0.25">
      <c r="A544" s="31"/>
      <c r="B544" s="52"/>
      <c r="C544" s="58"/>
      <c r="D544" s="55"/>
      <c r="E544" s="32"/>
      <c r="F544" s="31"/>
      <c r="G544" s="31"/>
      <c r="H544" s="32"/>
      <c r="I544" s="32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31"/>
      <c r="AB544" s="31"/>
    </row>
    <row r="545" spans="1:28" ht="13.2" x14ac:dyDescent="0.25">
      <c r="A545" s="31"/>
      <c r="B545" s="52"/>
      <c r="C545" s="58"/>
      <c r="D545" s="55"/>
      <c r="E545" s="32"/>
      <c r="F545" s="31"/>
      <c r="G545" s="31"/>
      <c r="H545" s="32"/>
      <c r="I545" s="32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31"/>
      <c r="AB545" s="31"/>
    </row>
    <row r="546" spans="1:28" ht="13.2" x14ac:dyDescent="0.25">
      <c r="A546" s="31"/>
      <c r="B546" s="52"/>
      <c r="C546" s="58"/>
      <c r="D546" s="55"/>
      <c r="E546" s="32"/>
      <c r="F546" s="31"/>
      <c r="G546" s="31"/>
      <c r="H546" s="32"/>
      <c r="I546" s="32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31"/>
      <c r="AB546" s="31"/>
    </row>
    <row r="547" spans="1:28" ht="13.2" x14ac:dyDescent="0.25">
      <c r="A547" s="31"/>
      <c r="B547" s="52"/>
      <c r="C547" s="58"/>
      <c r="D547" s="55"/>
      <c r="E547" s="32"/>
      <c r="F547" s="31"/>
      <c r="G547" s="31"/>
      <c r="H547" s="32"/>
      <c r="I547" s="32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31"/>
      <c r="AB547" s="31"/>
    </row>
    <row r="548" spans="1:28" ht="13.2" x14ac:dyDescent="0.25">
      <c r="A548" s="31"/>
      <c r="B548" s="52"/>
      <c r="C548" s="58"/>
      <c r="D548" s="55"/>
      <c r="E548" s="32"/>
      <c r="F548" s="31"/>
      <c r="G548" s="31"/>
      <c r="H548" s="32"/>
      <c r="I548" s="32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31"/>
      <c r="AB548" s="31"/>
    </row>
    <row r="549" spans="1:28" ht="13.2" x14ac:dyDescent="0.25">
      <c r="A549" s="31"/>
      <c r="B549" s="52"/>
      <c r="C549" s="58"/>
      <c r="D549" s="55"/>
      <c r="E549" s="32"/>
      <c r="F549" s="31"/>
      <c r="G549" s="31"/>
      <c r="H549" s="32"/>
      <c r="I549" s="32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31"/>
      <c r="AB549" s="31"/>
    </row>
    <row r="550" spans="1:28" ht="13.2" x14ac:dyDescent="0.25">
      <c r="A550" s="31"/>
      <c r="B550" s="52"/>
      <c r="C550" s="58"/>
      <c r="D550" s="55"/>
      <c r="E550" s="32"/>
      <c r="F550" s="31"/>
      <c r="G550" s="31"/>
      <c r="H550" s="32"/>
      <c r="I550" s="32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31"/>
      <c r="AB550" s="31"/>
    </row>
    <row r="551" spans="1:28" ht="13.2" x14ac:dyDescent="0.25">
      <c r="A551" s="31"/>
      <c r="B551" s="52"/>
      <c r="C551" s="58"/>
      <c r="D551" s="55"/>
      <c r="E551" s="32"/>
      <c r="F551" s="31"/>
      <c r="G551" s="31"/>
      <c r="H551" s="32"/>
      <c r="I551" s="32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31"/>
      <c r="AB551" s="31"/>
    </row>
    <row r="552" spans="1:28" ht="13.2" x14ac:dyDescent="0.25">
      <c r="A552" s="31"/>
      <c r="B552" s="52"/>
      <c r="C552" s="58"/>
      <c r="D552" s="55"/>
      <c r="E552" s="32"/>
      <c r="F552" s="31"/>
      <c r="G552" s="31"/>
      <c r="H552" s="32"/>
      <c r="I552" s="32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31"/>
      <c r="AB552" s="31"/>
    </row>
    <row r="553" spans="1:28" ht="13.2" x14ac:dyDescent="0.25">
      <c r="A553" s="31"/>
      <c r="B553" s="52"/>
      <c r="C553" s="58"/>
      <c r="D553" s="55"/>
      <c r="E553" s="32"/>
      <c r="F553" s="31"/>
      <c r="G553" s="31"/>
      <c r="H553" s="32"/>
      <c r="I553" s="32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31"/>
      <c r="AB553" s="31"/>
    </row>
    <row r="554" spans="1:28" ht="13.2" x14ac:dyDescent="0.25">
      <c r="A554" s="31"/>
      <c r="B554" s="52"/>
      <c r="C554" s="58"/>
      <c r="D554" s="55"/>
      <c r="E554" s="32"/>
      <c r="F554" s="31"/>
      <c r="G554" s="31"/>
      <c r="H554" s="32"/>
      <c r="I554" s="32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31"/>
      <c r="AB554" s="31"/>
    </row>
    <row r="555" spans="1:28" ht="13.2" x14ac:dyDescent="0.25">
      <c r="A555" s="31"/>
      <c r="B555" s="52"/>
      <c r="C555" s="58"/>
      <c r="D555" s="55"/>
      <c r="E555" s="32"/>
      <c r="F555" s="31"/>
      <c r="G555" s="31"/>
      <c r="H555" s="32"/>
      <c r="I555" s="32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31"/>
      <c r="AB555" s="31"/>
    </row>
    <row r="556" spans="1:28" ht="13.2" x14ac:dyDescent="0.25">
      <c r="A556" s="31"/>
      <c r="B556" s="52"/>
      <c r="C556" s="58"/>
      <c r="D556" s="55"/>
      <c r="E556" s="32"/>
      <c r="F556" s="31"/>
      <c r="G556" s="31"/>
      <c r="H556" s="32"/>
      <c r="I556" s="32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31"/>
      <c r="AB556" s="31"/>
    </row>
    <row r="557" spans="1:28" ht="13.2" x14ac:dyDescent="0.25">
      <c r="A557" s="31"/>
      <c r="B557" s="52"/>
      <c r="C557" s="58"/>
      <c r="D557" s="55"/>
      <c r="E557" s="32"/>
      <c r="F557" s="31"/>
      <c r="G557" s="31"/>
      <c r="H557" s="32"/>
      <c r="I557" s="32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31"/>
      <c r="AB557" s="31"/>
    </row>
    <row r="558" spans="1:28" ht="13.2" x14ac:dyDescent="0.25">
      <c r="A558" s="31"/>
      <c r="B558" s="52"/>
      <c r="C558" s="58"/>
      <c r="D558" s="55"/>
      <c r="E558" s="32"/>
      <c r="F558" s="31"/>
      <c r="G558" s="31"/>
      <c r="H558" s="32"/>
      <c r="I558" s="32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31"/>
      <c r="AB558" s="31"/>
    </row>
    <row r="559" spans="1:28" ht="13.2" x14ac:dyDescent="0.25">
      <c r="A559" s="31"/>
      <c r="B559" s="52"/>
      <c r="C559" s="58"/>
      <c r="D559" s="55"/>
      <c r="E559" s="32"/>
      <c r="F559" s="31"/>
      <c r="G559" s="31"/>
      <c r="H559" s="32"/>
      <c r="I559" s="32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31"/>
      <c r="AB559" s="31"/>
    </row>
    <row r="560" spans="1:28" ht="13.2" x14ac:dyDescent="0.25">
      <c r="A560" s="31"/>
      <c r="B560" s="52"/>
      <c r="C560" s="58"/>
      <c r="D560" s="55"/>
      <c r="E560" s="32"/>
      <c r="F560" s="31"/>
      <c r="G560" s="31"/>
      <c r="H560" s="32"/>
      <c r="I560" s="32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31"/>
      <c r="AB560" s="31"/>
    </row>
    <row r="561" spans="1:28" ht="13.2" x14ac:dyDescent="0.25">
      <c r="A561" s="31"/>
      <c r="B561" s="52"/>
      <c r="C561" s="58"/>
      <c r="D561" s="55"/>
      <c r="E561" s="32"/>
      <c r="F561" s="31"/>
      <c r="G561" s="31"/>
      <c r="H561" s="32"/>
      <c r="I561" s="32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31"/>
      <c r="AB561" s="31"/>
    </row>
    <row r="562" spans="1:28" ht="13.2" x14ac:dyDescent="0.25">
      <c r="A562" s="31"/>
      <c r="B562" s="52"/>
      <c r="C562" s="58"/>
      <c r="D562" s="55"/>
      <c r="E562" s="32"/>
      <c r="F562" s="31"/>
      <c r="G562" s="31"/>
      <c r="H562" s="32"/>
      <c r="I562" s="32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31"/>
      <c r="AB562" s="31"/>
    </row>
    <row r="563" spans="1:28" ht="13.2" x14ac:dyDescent="0.25">
      <c r="A563" s="31"/>
      <c r="B563" s="52"/>
      <c r="C563" s="58"/>
      <c r="D563" s="55"/>
      <c r="E563" s="32"/>
      <c r="F563" s="31"/>
      <c r="G563" s="31"/>
      <c r="H563" s="32"/>
      <c r="I563" s="32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31"/>
      <c r="AB563" s="31"/>
    </row>
    <row r="564" spans="1:28" ht="13.2" x14ac:dyDescent="0.25">
      <c r="A564" s="31"/>
      <c r="B564" s="52"/>
      <c r="C564" s="58"/>
      <c r="D564" s="55"/>
      <c r="E564" s="32"/>
      <c r="F564" s="31"/>
      <c r="G564" s="31"/>
      <c r="H564" s="32"/>
      <c r="I564" s="32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31"/>
      <c r="AB564" s="31"/>
    </row>
    <row r="565" spans="1:28" ht="13.2" x14ac:dyDescent="0.25">
      <c r="A565" s="31"/>
      <c r="B565" s="52"/>
      <c r="C565" s="58"/>
      <c r="D565" s="55"/>
      <c r="E565" s="32"/>
      <c r="F565" s="31"/>
      <c r="G565" s="31"/>
      <c r="H565" s="32"/>
      <c r="I565" s="32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31"/>
      <c r="AB565" s="31"/>
    </row>
    <row r="566" spans="1:28" ht="13.2" x14ac:dyDescent="0.25">
      <c r="A566" s="31"/>
      <c r="B566" s="52"/>
      <c r="C566" s="58"/>
      <c r="D566" s="55"/>
      <c r="E566" s="32"/>
      <c r="F566" s="31"/>
      <c r="G566" s="31"/>
      <c r="H566" s="32"/>
      <c r="I566" s="32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31"/>
      <c r="AB566" s="31"/>
    </row>
    <row r="567" spans="1:28" ht="13.2" x14ac:dyDescent="0.25">
      <c r="A567" s="31"/>
      <c r="B567" s="52"/>
      <c r="C567" s="58"/>
      <c r="D567" s="55"/>
      <c r="E567" s="32"/>
      <c r="F567" s="31"/>
      <c r="G567" s="31"/>
      <c r="H567" s="32"/>
      <c r="I567" s="32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31"/>
      <c r="AB567" s="31"/>
    </row>
    <row r="568" spans="1:28" ht="13.2" x14ac:dyDescent="0.25">
      <c r="A568" s="31"/>
      <c r="B568" s="52"/>
      <c r="C568" s="58"/>
      <c r="D568" s="55"/>
      <c r="E568" s="32"/>
      <c r="F568" s="31"/>
      <c r="G568" s="31"/>
      <c r="H568" s="32"/>
      <c r="I568" s="32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31"/>
      <c r="AB568" s="31"/>
    </row>
    <row r="569" spans="1:28" ht="13.2" x14ac:dyDescent="0.25">
      <c r="A569" s="31"/>
      <c r="B569" s="52"/>
      <c r="C569" s="58"/>
      <c r="D569" s="55"/>
      <c r="E569" s="32"/>
      <c r="F569" s="31"/>
      <c r="G569" s="31"/>
      <c r="H569" s="32"/>
      <c r="I569" s="32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31"/>
      <c r="AB569" s="31"/>
    </row>
    <row r="570" spans="1:28" ht="13.2" x14ac:dyDescent="0.25">
      <c r="A570" s="31"/>
      <c r="B570" s="52"/>
      <c r="C570" s="58"/>
      <c r="D570" s="55"/>
      <c r="E570" s="32"/>
      <c r="F570" s="31"/>
      <c r="G570" s="31"/>
      <c r="H570" s="32"/>
      <c r="I570" s="32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31"/>
      <c r="AB570" s="31"/>
    </row>
    <row r="571" spans="1:28" ht="13.2" x14ac:dyDescent="0.25">
      <c r="A571" s="31"/>
      <c r="B571" s="52"/>
      <c r="C571" s="58"/>
      <c r="D571" s="55"/>
      <c r="E571" s="32"/>
      <c r="F571" s="31"/>
      <c r="G571" s="31"/>
      <c r="H571" s="32"/>
      <c r="I571" s="32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31"/>
      <c r="AB571" s="31"/>
    </row>
    <row r="572" spans="1:28" ht="13.2" x14ac:dyDescent="0.25">
      <c r="A572" s="31"/>
      <c r="B572" s="52"/>
      <c r="C572" s="58"/>
      <c r="D572" s="55"/>
      <c r="E572" s="32"/>
      <c r="F572" s="31"/>
      <c r="G572" s="31"/>
      <c r="H572" s="32"/>
      <c r="I572" s="32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31"/>
      <c r="AB572" s="31"/>
    </row>
    <row r="573" spans="1:28" ht="13.2" x14ac:dyDescent="0.25">
      <c r="A573" s="31"/>
      <c r="B573" s="52"/>
      <c r="C573" s="58"/>
      <c r="D573" s="55"/>
      <c r="E573" s="32"/>
      <c r="F573" s="31"/>
      <c r="G573" s="31"/>
      <c r="H573" s="32"/>
      <c r="I573" s="32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31"/>
      <c r="AB573" s="31"/>
    </row>
    <row r="574" spans="1:28" ht="13.2" x14ac:dyDescent="0.25">
      <c r="A574" s="31"/>
      <c r="B574" s="52"/>
      <c r="C574" s="58"/>
      <c r="D574" s="55"/>
      <c r="E574" s="32"/>
      <c r="F574" s="31"/>
      <c r="G574" s="31"/>
      <c r="H574" s="32"/>
      <c r="I574" s="32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31"/>
      <c r="AB574" s="31"/>
    </row>
    <row r="575" spans="1:28" ht="13.2" x14ac:dyDescent="0.25">
      <c r="A575" s="31"/>
      <c r="B575" s="52"/>
      <c r="C575" s="58"/>
      <c r="D575" s="55"/>
      <c r="E575" s="32"/>
      <c r="F575" s="31"/>
      <c r="G575" s="31"/>
      <c r="H575" s="32"/>
      <c r="I575" s="32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31"/>
      <c r="AB575" s="31"/>
    </row>
    <row r="576" spans="1:28" ht="13.2" x14ac:dyDescent="0.25">
      <c r="A576" s="31"/>
      <c r="B576" s="52"/>
      <c r="C576" s="58"/>
      <c r="D576" s="55"/>
      <c r="E576" s="32"/>
      <c r="F576" s="31"/>
      <c r="G576" s="31"/>
      <c r="H576" s="32"/>
      <c r="I576" s="32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31"/>
      <c r="AB576" s="31"/>
    </row>
    <row r="577" spans="1:28" ht="13.2" x14ac:dyDescent="0.25">
      <c r="A577" s="31"/>
      <c r="B577" s="52"/>
      <c r="C577" s="58"/>
      <c r="D577" s="55"/>
      <c r="E577" s="32"/>
      <c r="F577" s="31"/>
      <c r="G577" s="31"/>
      <c r="H577" s="32"/>
      <c r="I577" s="32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31"/>
      <c r="AB577" s="31"/>
    </row>
    <row r="578" spans="1:28" ht="13.2" x14ac:dyDescent="0.25">
      <c r="A578" s="31"/>
      <c r="B578" s="52"/>
      <c r="C578" s="58"/>
      <c r="D578" s="55"/>
      <c r="E578" s="32"/>
      <c r="F578" s="31"/>
      <c r="G578" s="31"/>
      <c r="H578" s="32"/>
      <c r="I578" s="32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31"/>
      <c r="AB578" s="31"/>
    </row>
    <row r="579" spans="1:28" ht="13.2" x14ac:dyDescent="0.25">
      <c r="A579" s="31"/>
      <c r="B579" s="52"/>
      <c r="C579" s="58"/>
      <c r="D579" s="55"/>
      <c r="E579" s="32"/>
      <c r="F579" s="31"/>
      <c r="G579" s="31"/>
      <c r="H579" s="32"/>
      <c r="I579" s="32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31"/>
      <c r="AB579" s="31"/>
    </row>
    <row r="580" spans="1:28" ht="13.2" x14ac:dyDescent="0.25">
      <c r="A580" s="31"/>
      <c r="B580" s="52"/>
      <c r="C580" s="58"/>
      <c r="D580" s="55"/>
      <c r="E580" s="32"/>
      <c r="F580" s="31"/>
      <c r="G580" s="31"/>
      <c r="H580" s="32"/>
      <c r="I580" s="32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31"/>
      <c r="AB580" s="31"/>
    </row>
    <row r="581" spans="1:28" ht="13.2" x14ac:dyDescent="0.25">
      <c r="A581" s="31"/>
      <c r="B581" s="52"/>
      <c r="C581" s="58"/>
      <c r="D581" s="55"/>
      <c r="E581" s="32"/>
      <c r="F581" s="31"/>
      <c r="G581" s="31"/>
      <c r="H581" s="32"/>
      <c r="I581" s="32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31"/>
      <c r="AB581" s="31"/>
    </row>
    <row r="582" spans="1:28" ht="13.2" x14ac:dyDescent="0.25">
      <c r="A582" s="31"/>
      <c r="B582" s="52"/>
      <c r="C582" s="58"/>
      <c r="D582" s="55"/>
      <c r="E582" s="32"/>
      <c r="F582" s="31"/>
      <c r="G582" s="31"/>
      <c r="H582" s="32"/>
      <c r="I582" s="32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31"/>
      <c r="AB582" s="31"/>
    </row>
    <row r="583" spans="1:28" ht="13.2" x14ac:dyDescent="0.25">
      <c r="A583" s="31"/>
      <c r="B583" s="52"/>
      <c r="C583" s="58"/>
      <c r="D583" s="55"/>
      <c r="E583" s="32"/>
      <c r="F583" s="31"/>
      <c r="G583" s="31"/>
      <c r="H583" s="32"/>
      <c r="I583" s="32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31"/>
      <c r="AB583" s="31"/>
    </row>
    <row r="584" spans="1:28" ht="13.2" x14ac:dyDescent="0.25">
      <c r="A584" s="31"/>
      <c r="B584" s="52"/>
      <c r="C584" s="58"/>
      <c r="D584" s="55"/>
      <c r="E584" s="32"/>
      <c r="F584" s="31"/>
      <c r="G584" s="31"/>
      <c r="H584" s="32"/>
      <c r="I584" s="32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31"/>
      <c r="AB584" s="31"/>
    </row>
    <row r="585" spans="1:28" ht="13.2" x14ac:dyDescent="0.25">
      <c r="A585" s="31"/>
      <c r="B585" s="52"/>
      <c r="C585" s="58"/>
      <c r="D585" s="55"/>
      <c r="E585" s="32"/>
      <c r="F585" s="31"/>
      <c r="G585" s="31"/>
      <c r="H585" s="32"/>
      <c r="I585" s="32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31"/>
      <c r="AB585" s="31"/>
    </row>
    <row r="586" spans="1:28" ht="13.2" x14ac:dyDescent="0.25">
      <c r="A586" s="31"/>
      <c r="B586" s="52"/>
      <c r="C586" s="58"/>
      <c r="D586" s="55"/>
      <c r="E586" s="32"/>
      <c r="F586" s="31"/>
      <c r="G586" s="31"/>
      <c r="H586" s="32"/>
      <c r="I586" s="32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31"/>
      <c r="AB586" s="31"/>
    </row>
    <row r="587" spans="1:28" ht="13.2" x14ac:dyDescent="0.25">
      <c r="A587" s="31"/>
      <c r="B587" s="52"/>
      <c r="C587" s="58"/>
      <c r="D587" s="55"/>
      <c r="E587" s="32"/>
      <c r="F587" s="31"/>
      <c r="G587" s="31"/>
      <c r="H587" s="32"/>
      <c r="I587" s="32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31"/>
      <c r="AB587" s="31"/>
    </row>
    <row r="588" spans="1:28" ht="13.2" x14ac:dyDescent="0.25">
      <c r="A588" s="31"/>
      <c r="B588" s="52"/>
      <c r="C588" s="58"/>
      <c r="D588" s="55"/>
      <c r="E588" s="32"/>
      <c r="F588" s="31"/>
      <c r="G588" s="31"/>
      <c r="H588" s="32"/>
      <c r="I588" s="32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31"/>
      <c r="AB588" s="31"/>
    </row>
    <row r="589" spans="1:28" ht="13.2" x14ac:dyDescent="0.25">
      <c r="A589" s="31"/>
      <c r="B589" s="52"/>
      <c r="C589" s="58"/>
      <c r="D589" s="55"/>
      <c r="E589" s="32"/>
      <c r="F589" s="31"/>
      <c r="G589" s="31"/>
      <c r="H589" s="32"/>
      <c r="I589" s="32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31"/>
      <c r="AB589" s="31"/>
    </row>
    <row r="590" spans="1:28" ht="13.2" x14ac:dyDescent="0.25">
      <c r="A590" s="31"/>
      <c r="B590" s="52"/>
      <c r="C590" s="58"/>
      <c r="D590" s="55"/>
      <c r="E590" s="32"/>
      <c r="F590" s="31"/>
      <c r="G590" s="31"/>
      <c r="H590" s="32"/>
      <c r="I590" s="32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31"/>
      <c r="AB590" s="31"/>
    </row>
    <row r="591" spans="1:28" ht="13.2" x14ac:dyDescent="0.25">
      <c r="A591" s="31"/>
      <c r="B591" s="52"/>
      <c r="C591" s="58"/>
      <c r="D591" s="55"/>
      <c r="E591" s="32"/>
      <c r="F591" s="31"/>
      <c r="G591" s="31"/>
      <c r="H591" s="32"/>
      <c r="I591" s="32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31"/>
      <c r="AB591" s="31"/>
    </row>
    <row r="592" spans="1:28" ht="13.2" x14ac:dyDescent="0.25">
      <c r="A592" s="31"/>
      <c r="B592" s="52"/>
      <c r="C592" s="58"/>
      <c r="D592" s="55"/>
      <c r="E592" s="32"/>
      <c r="F592" s="31"/>
      <c r="G592" s="31"/>
      <c r="H592" s="32"/>
      <c r="I592" s="32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31"/>
      <c r="AB592" s="31"/>
    </row>
    <row r="593" spans="1:28" ht="13.2" x14ac:dyDescent="0.25">
      <c r="A593" s="31"/>
      <c r="B593" s="52"/>
      <c r="C593" s="58"/>
      <c r="D593" s="55"/>
      <c r="E593" s="32"/>
      <c r="F593" s="31"/>
      <c r="G593" s="31"/>
      <c r="H593" s="32"/>
      <c r="I593" s="32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31"/>
      <c r="AB593" s="31"/>
    </row>
    <row r="594" spans="1:28" ht="13.2" x14ac:dyDescent="0.25">
      <c r="A594" s="31"/>
      <c r="B594" s="52"/>
      <c r="C594" s="58"/>
      <c r="D594" s="55"/>
      <c r="E594" s="32"/>
      <c r="F594" s="31"/>
      <c r="G594" s="31"/>
      <c r="H594" s="32"/>
      <c r="I594" s="32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31"/>
      <c r="AB594" s="31"/>
    </row>
    <row r="595" spans="1:28" ht="13.2" x14ac:dyDescent="0.25">
      <c r="A595" s="31"/>
      <c r="B595" s="52"/>
      <c r="C595" s="58"/>
      <c r="D595" s="55"/>
      <c r="E595" s="32"/>
      <c r="F595" s="31"/>
      <c r="G595" s="31"/>
      <c r="H595" s="32"/>
      <c r="I595" s="32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31"/>
      <c r="AB595" s="31"/>
    </row>
    <row r="596" spans="1:28" ht="13.2" x14ac:dyDescent="0.25">
      <c r="A596" s="31"/>
      <c r="B596" s="52"/>
      <c r="C596" s="58"/>
      <c r="D596" s="55"/>
      <c r="E596" s="32"/>
      <c r="F596" s="31"/>
      <c r="G596" s="31"/>
      <c r="H596" s="32"/>
      <c r="I596" s="32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31"/>
      <c r="AB596" s="31"/>
    </row>
    <row r="597" spans="1:28" ht="13.2" x14ac:dyDescent="0.25">
      <c r="A597" s="31"/>
      <c r="B597" s="52"/>
      <c r="C597" s="58"/>
      <c r="D597" s="55"/>
      <c r="E597" s="32"/>
      <c r="F597" s="31"/>
      <c r="G597" s="31"/>
      <c r="H597" s="32"/>
      <c r="I597" s="32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31"/>
      <c r="AB597" s="31"/>
    </row>
    <row r="598" spans="1:28" ht="13.2" x14ac:dyDescent="0.25">
      <c r="A598" s="31"/>
      <c r="B598" s="52"/>
      <c r="C598" s="58"/>
      <c r="D598" s="55"/>
      <c r="E598" s="32"/>
      <c r="F598" s="31"/>
      <c r="G598" s="31"/>
      <c r="H598" s="32"/>
      <c r="I598" s="32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31"/>
      <c r="AB598" s="31"/>
    </row>
    <row r="599" spans="1:28" ht="13.2" x14ac:dyDescent="0.25">
      <c r="A599" s="31"/>
      <c r="B599" s="52"/>
      <c r="C599" s="58"/>
      <c r="D599" s="55"/>
      <c r="E599" s="32"/>
      <c r="F599" s="31"/>
      <c r="G599" s="31"/>
      <c r="H599" s="32"/>
      <c r="I599" s="32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31"/>
      <c r="AB599" s="31"/>
    </row>
    <row r="600" spans="1:28" ht="13.2" x14ac:dyDescent="0.25">
      <c r="A600" s="31"/>
      <c r="B600" s="52"/>
      <c r="C600" s="58"/>
      <c r="D600" s="55"/>
      <c r="E600" s="32"/>
      <c r="F600" s="31"/>
      <c r="G600" s="31"/>
      <c r="H600" s="32"/>
      <c r="I600" s="32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31"/>
      <c r="AB600" s="31"/>
    </row>
    <row r="601" spans="1:28" ht="13.2" x14ac:dyDescent="0.25">
      <c r="A601" s="31"/>
      <c r="B601" s="52"/>
      <c r="C601" s="58"/>
      <c r="D601" s="55"/>
      <c r="E601" s="32"/>
      <c r="F601" s="31"/>
      <c r="G601" s="31"/>
      <c r="H601" s="32"/>
      <c r="I601" s="32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31"/>
      <c r="AB601" s="31"/>
    </row>
    <row r="602" spans="1:28" ht="13.2" x14ac:dyDescent="0.25">
      <c r="A602" s="31"/>
      <c r="B602" s="52"/>
      <c r="C602" s="58"/>
      <c r="D602" s="55"/>
      <c r="E602" s="32"/>
      <c r="F602" s="31"/>
      <c r="G602" s="31"/>
      <c r="H602" s="32"/>
      <c r="I602" s="32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31"/>
      <c r="AB602" s="31"/>
    </row>
    <row r="603" spans="1:28" ht="13.2" x14ac:dyDescent="0.25">
      <c r="A603" s="31"/>
      <c r="B603" s="52"/>
      <c r="C603" s="58"/>
      <c r="D603" s="55"/>
      <c r="E603" s="32"/>
      <c r="F603" s="31"/>
      <c r="G603" s="31"/>
      <c r="H603" s="32"/>
      <c r="I603" s="32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31"/>
      <c r="AB603" s="31"/>
    </row>
    <row r="604" spans="1:28" ht="13.2" x14ac:dyDescent="0.25">
      <c r="A604" s="31"/>
      <c r="B604" s="52"/>
      <c r="C604" s="58"/>
      <c r="D604" s="55"/>
      <c r="E604" s="32"/>
      <c r="F604" s="31"/>
      <c r="G604" s="31"/>
      <c r="H604" s="32"/>
      <c r="I604" s="32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31"/>
      <c r="AB604" s="31"/>
    </row>
    <row r="605" spans="1:28" ht="13.2" x14ac:dyDescent="0.25">
      <c r="A605" s="31"/>
      <c r="B605" s="52"/>
      <c r="C605" s="58"/>
      <c r="D605" s="55"/>
      <c r="E605" s="32"/>
      <c r="F605" s="31"/>
      <c r="G605" s="31"/>
      <c r="H605" s="32"/>
      <c r="I605" s="32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31"/>
      <c r="AB605" s="31"/>
    </row>
    <row r="606" spans="1:28" ht="13.2" x14ac:dyDescent="0.25">
      <c r="A606" s="31"/>
      <c r="B606" s="52"/>
      <c r="C606" s="58"/>
      <c r="D606" s="55"/>
      <c r="E606" s="32"/>
      <c r="F606" s="31"/>
      <c r="G606" s="31"/>
      <c r="H606" s="32"/>
      <c r="I606" s="32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31"/>
      <c r="AB606" s="31"/>
    </row>
    <row r="607" spans="1:28" ht="13.2" x14ac:dyDescent="0.25">
      <c r="A607" s="31"/>
      <c r="B607" s="52"/>
      <c r="C607" s="58"/>
      <c r="D607" s="55"/>
      <c r="E607" s="32"/>
      <c r="F607" s="31"/>
      <c r="G607" s="31"/>
      <c r="H607" s="32"/>
      <c r="I607" s="32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31"/>
      <c r="AB607" s="31"/>
    </row>
    <row r="608" spans="1:28" ht="13.2" x14ac:dyDescent="0.25">
      <c r="A608" s="31"/>
      <c r="B608" s="52"/>
      <c r="C608" s="58"/>
      <c r="D608" s="55"/>
      <c r="E608" s="32"/>
      <c r="F608" s="31"/>
      <c r="G608" s="31"/>
      <c r="H608" s="32"/>
      <c r="I608" s="32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31"/>
      <c r="AB608" s="31"/>
    </row>
    <row r="609" spans="1:28" ht="13.2" x14ac:dyDescent="0.25">
      <c r="A609" s="31"/>
      <c r="B609" s="52"/>
      <c r="C609" s="58"/>
      <c r="D609" s="55"/>
      <c r="E609" s="32"/>
      <c r="F609" s="31"/>
      <c r="G609" s="31"/>
      <c r="H609" s="32"/>
      <c r="I609" s="32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31"/>
      <c r="AB609" s="31"/>
    </row>
    <row r="610" spans="1:28" ht="13.2" x14ac:dyDescent="0.25">
      <c r="A610" s="31"/>
      <c r="B610" s="52"/>
      <c r="C610" s="58"/>
      <c r="D610" s="55"/>
      <c r="E610" s="32"/>
      <c r="F610" s="31"/>
      <c r="G610" s="31"/>
      <c r="H610" s="32"/>
      <c r="I610" s="32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31"/>
      <c r="AB610" s="31"/>
    </row>
    <row r="611" spans="1:28" ht="13.2" x14ac:dyDescent="0.25">
      <c r="A611" s="31"/>
      <c r="B611" s="52"/>
      <c r="C611" s="58"/>
      <c r="D611" s="55"/>
      <c r="E611" s="32"/>
      <c r="F611" s="31"/>
      <c r="G611" s="31"/>
      <c r="H611" s="32"/>
      <c r="I611" s="32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31"/>
      <c r="AB611" s="31"/>
    </row>
    <row r="612" spans="1:28" ht="13.2" x14ac:dyDescent="0.25">
      <c r="A612" s="31"/>
      <c r="B612" s="52"/>
      <c r="C612" s="58"/>
      <c r="D612" s="55"/>
      <c r="E612" s="32"/>
      <c r="F612" s="31"/>
      <c r="G612" s="31"/>
      <c r="H612" s="32"/>
      <c r="I612" s="32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31"/>
      <c r="AB612" s="31"/>
    </row>
    <row r="613" spans="1:28" ht="13.2" x14ac:dyDescent="0.25">
      <c r="A613" s="31"/>
      <c r="B613" s="52"/>
      <c r="C613" s="58"/>
      <c r="D613" s="55"/>
      <c r="E613" s="32"/>
      <c r="F613" s="31"/>
      <c r="G613" s="31"/>
      <c r="H613" s="32"/>
      <c r="I613" s="32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31"/>
      <c r="AB613" s="31"/>
    </row>
    <row r="614" spans="1:28" ht="13.2" x14ac:dyDescent="0.25">
      <c r="A614" s="31"/>
      <c r="B614" s="52"/>
      <c r="C614" s="58"/>
      <c r="D614" s="55"/>
      <c r="E614" s="32"/>
      <c r="F614" s="31"/>
      <c r="G614" s="31"/>
      <c r="H614" s="32"/>
      <c r="I614" s="32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31"/>
      <c r="AB614" s="31"/>
    </row>
    <row r="615" spans="1:28" ht="13.2" x14ac:dyDescent="0.25">
      <c r="A615" s="31"/>
      <c r="B615" s="52"/>
      <c r="C615" s="58"/>
      <c r="D615" s="55"/>
      <c r="E615" s="32"/>
      <c r="F615" s="31"/>
      <c r="G615" s="31"/>
      <c r="H615" s="32"/>
      <c r="I615" s="32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31"/>
      <c r="AB615" s="31"/>
    </row>
    <row r="616" spans="1:28" ht="13.2" x14ac:dyDescent="0.25">
      <c r="A616" s="31"/>
      <c r="B616" s="52"/>
      <c r="C616" s="58"/>
      <c r="D616" s="55"/>
      <c r="E616" s="32"/>
      <c r="F616" s="31"/>
      <c r="G616" s="31"/>
      <c r="H616" s="32"/>
      <c r="I616" s="32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31"/>
      <c r="AB616" s="31"/>
    </row>
    <row r="617" spans="1:28" ht="13.2" x14ac:dyDescent="0.25">
      <c r="A617" s="31"/>
      <c r="B617" s="52"/>
      <c r="C617" s="58"/>
      <c r="D617" s="55"/>
      <c r="E617" s="32"/>
      <c r="F617" s="31"/>
      <c r="G617" s="31"/>
      <c r="H617" s="32"/>
      <c r="I617" s="32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31"/>
      <c r="AB617" s="31"/>
    </row>
    <row r="618" spans="1:28" ht="13.2" x14ac:dyDescent="0.25">
      <c r="A618" s="31"/>
      <c r="B618" s="52"/>
      <c r="C618" s="58"/>
      <c r="D618" s="55"/>
      <c r="E618" s="32"/>
      <c r="F618" s="31"/>
      <c r="G618" s="31"/>
      <c r="H618" s="32"/>
      <c r="I618" s="32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31"/>
      <c r="AB618" s="31"/>
    </row>
    <row r="619" spans="1:28" ht="13.2" x14ac:dyDescent="0.25">
      <c r="A619" s="31"/>
      <c r="B619" s="52"/>
      <c r="C619" s="58"/>
      <c r="D619" s="55"/>
      <c r="E619" s="32"/>
      <c r="F619" s="31"/>
      <c r="G619" s="31"/>
      <c r="H619" s="32"/>
      <c r="I619" s="32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31"/>
      <c r="AB619" s="31"/>
    </row>
    <row r="620" spans="1:28" ht="13.2" x14ac:dyDescent="0.25">
      <c r="A620" s="31"/>
      <c r="B620" s="52"/>
      <c r="C620" s="58"/>
      <c r="D620" s="55"/>
      <c r="E620" s="32"/>
      <c r="F620" s="31"/>
      <c r="G620" s="31"/>
      <c r="H620" s="32"/>
      <c r="I620" s="32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31"/>
      <c r="AB620" s="31"/>
    </row>
    <row r="621" spans="1:28" ht="13.2" x14ac:dyDescent="0.25">
      <c r="A621" s="31"/>
      <c r="B621" s="52"/>
      <c r="C621" s="58"/>
      <c r="D621" s="55"/>
      <c r="E621" s="32"/>
      <c r="F621" s="31"/>
      <c r="G621" s="31"/>
      <c r="H621" s="32"/>
      <c r="I621" s="32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31"/>
      <c r="AB621" s="31"/>
    </row>
    <row r="622" spans="1:28" ht="13.2" x14ac:dyDescent="0.25">
      <c r="A622" s="31"/>
      <c r="B622" s="52"/>
      <c r="C622" s="58"/>
      <c r="D622" s="55"/>
      <c r="E622" s="32"/>
      <c r="F622" s="31"/>
      <c r="G622" s="31"/>
      <c r="H622" s="32"/>
      <c r="I622" s="32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31"/>
      <c r="AB622" s="31"/>
    </row>
    <row r="623" spans="1:28" ht="13.2" x14ac:dyDescent="0.25">
      <c r="A623" s="31"/>
      <c r="B623" s="52"/>
      <c r="C623" s="58"/>
      <c r="D623" s="55"/>
      <c r="E623" s="32"/>
      <c r="F623" s="31"/>
      <c r="G623" s="31"/>
      <c r="H623" s="32"/>
      <c r="I623" s="32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31"/>
      <c r="AB623" s="31"/>
    </row>
    <row r="624" spans="1:28" ht="13.2" x14ac:dyDescent="0.25">
      <c r="A624" s="31"/>
      <c r="B624" s="52"/>
      <c r="C624" s="58"/>
      <c r="D624" s="55"/>
      <c r="E624" s="32"/>
      <c r="F624" s="31"/>
      <c r="G624" s="31"/>
      <c r="H624" s="32"/>
      <c r="I624" s="32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31"/>
      <c r="AB624" s="31"/>
    </row>
    <row r="625" spans="1:28" ht="13.2" x14ac:dyDescent="0.25">
      <c r="A625" s="31"/>
      <c r="B625" s="52"/>
      <c r="C625" s="58"/>
      <c r="D625" s="55"/>
      <c r="E625" s="32"/>
      <c r="F625" s="31"/>
      <c r="G625" s="31"/>
      <c r="H625" s="32"/>
      <c r="I625" s="32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31"/>
      <c r="AB625" s="31"/>
    </row>
    <row r="626" spans="1:28" ht="13.2" x14ac:dyDescent="0.25">
      <c r="A626" s="31"/>
      <c r="B626" s="52"/>
      <c r="C626" s="58"/>
      <c r="D626" s="55"/>
      <c r="E626" s="32"/>
      <c r="F626" s="31"/>
      <c r="G626" s="31"/>
      <c r="H626" s="32"/>
      <c r="I626" s="32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31"/>
      <c r="AB626" s="31"/>
    </row>
    <row r="627" spans="1:28" ht="13.2" x14ac:dyDescent="0.25">
      <c r="A627" s="31"/>
      <c r="B627" s="52"/>
      <c r="C627" s="58"/>
      <c r="D627" s="55"/>
      <c r="E627" s="32"/>
      <c r="F627" s="31"/>
      <c r="G627" s="31"/>
      <c r="H627" s="32"/>
      <c r="I627" s="32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31"/>
      <c r="AB627" s="31"/>
    </row>
    <row r="628" spans="1:28" ht="13.2" x14ac:dyDescent="0.25">
      <c r="A628" s="31"/>
      <c r="B628" s="52"/>
      <c r="C628" s="58"/>
      <c r="D628" s="55"/>
      <c r="E628" s="32"/>
      <c r="F628" s="31"/>
      <c r="G628" s="31"/>
      <c r="H628" s="32"/>
      <c r="I628" s="32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31"/>
      <c r="AB628" s="31"/>
    </row>
    <row r="629" spans="1:28" ht="13.2" x14ac:dyDescent="0.25">
      <c r="A629" s="31"/>
      <c r="B629" s="52"/>
      <c r="C629" s="58"/>
      <c r="D629" s="55"/>
      <c r="E629" s="32"/>
      <c r="F629" s="31"/>
      <c r="G629" s="31"/>
      <c r="H629" s="32"/>
      <c r="I629" s="32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31"/>
      <c r="AB629" s="31"/>
    </row>
    <row r="630" spans="1:28" ht="13.2" x14ac:dyDescent="0.25">
      <c r="A630" s="31"/>
      <c r="B630" s="52"/>
      <c r="C630" s="58"/>
      <c r="D630" s="55"/>
      <c r="E630" s="32"/>
      <c r="F630" s="31"/>
      <c r="G630" s="31"/>
      <c r="H630" s="32"/>
      <c r="I630" s="32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31"/>
      <c r="AB630" s="31"/>
    </row>
    <row r="631" spans="1:28" ht="13.2" x14ac:dyDescent="0.25">
      <c r="A631" s="31"/>
      <c r="B631" s="52"/>
      <c r="C631" s="58"/>
      <c r="D631" s="55"/>
      <c r="E631" s="32"/>
      <c r="F631" s="31"/>
      <c r="G631" s="31"/>
      <c r="H631" s="32"/>
      <c r="I631" s="32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31"/>
      <c r="AB631" s="31"/>
    </row>
    <row r="632" spans="1:28" ht="13.2" x14ac:dyDescent="0.25">
      <c r="A632" s="31"/>
      <c r="B632" s="52"/>
      <c r="C632" s="58"/>
      <c r="D632" s="55"/>
      <c r="E632" s="32"/>
      <c r="F632" s="31"/>
      <c r="G632" s="31"/>
      <c r="H632" s="32"/>
      <c r="I632" s="32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31"/>
      <c r="AB632" s="31"/>
    </row>
    <row r="633" spans="1:28" ht="13.2" x14ac:dyDescent="0.25">
      <c r="A633" s="31"/>
      <c r="B633" s="52"/>
      <c r="C633" s="58"/>
      <c r="D633" s="55"/>
      <c r="E633" s="32"/>
      <c r="F633" s="31"/>
      <c r="G633" s="31"/>
      <c r="H633" s="32"/>
      <c r="I633" s="32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31"/>
      <c r="AB633" s="31"/>
    </row>
    <row r="634" spans="1:28" ht="13.2" x14ac:dyDescent="0.25">
      <c r="A634" s="31"/>
      <c r="B634" s="52"/>
      <c r="C634" s="58"/>
      <c r="D634" s="55"/>
      <c r="E634" s="32"/>
      <c r="F634" s="31"/>
      <c r="G634" s="31"/>
      <c r="H634" s="32"/>
      <c r="I634" s="32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31"/>
      <c r="AB634" s="31"/>
    </row>
    <row r="635" spans="1:28" ht="13.2" x14ac:dyDescent="0.25">
      <c r="A635" s="31"/>
      <c r="B635" s="52"/>
      <c r="C635" s="58"/>
      <c r="D635" s="55"/>
      <c r="E635" s="32"/>
      <c r="F635" s="31"/>
      <c r="G635" s="31"/>
      <c r="H635" s="32"/>
      <c r="I635" s="32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31"/>
      <c r="AB635" s="31"/>
    </row>
    <row r="636" spans="1:28" ht="13.2" x14ac:dyDescent="0.25">
      <c r="A636" s="31"/>
      <c r="B636" s="52"/>
      <c r="C636" s="58"/>
      <c r="D636" s="55"/>
      <c r="E636" s="32"/>
      <c r="F636" s="31"/>
      <c r="G636" s="31"/>
      <c r="H636" s="32"/>
      <c r="I636" s="32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31"/>
      <c r="AB636" s="31"/>
    </row>
    <row r="637" spans="1:28" ht="13.2" x14ac:dyDescent="0.25">
      <c r="A637" s="31"/>
      <c r="B637" s="52"/>
      <c r="C637" s="58"/>
      <c r="D637" s="55"/>
      <c r="E637" s="32"/>
      <c r="F637" s="31"/>
      <c r="G637" s="31"/>
      <c r="H637" s="32"/>
      <c r="I637" s="32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31"/>
      <c r="AB637" s="31"/>
    </row>
    <row r="638" spans="1:28" ht="13.2" x14ac:dyDescent="0.25">
      <c r="A638" s="31"/>
      <c r="B638" s="52"/>
      <c r="C638" s="58"/>
      <c r="D638" s="55"/>
      <c r="E638" s="32"/>
      <c r="F638" s="31"/>
      <c r="G638" s="31"/>
      <c r="H638" s="32"/>
      <c r="I638" s="32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31"/>
      <c r="AB638" s="31"/>
    </row>
    <row r="639" spans="1:28" ht="13.2" x14ac:dyDescent="0.25">
      <c r="A639" s="31"/>
      <c r="B639" s="52"/>
      <c r="C639" s="58"/>
      <c r="D639" s="55"/>
      <c r="E639" s="32"/>
      <c r="F639" s="31"/>
      <c r="G639" s="31"/>
      <c r="H639" s="32"/>
      <c r="I639" s="32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31"/>
      <c r="AB639" s="31"/>
    </row>
    <row r="640" spans="1:28" ht="13.2" x14ac:dyDescent="0.25">
      <c r="A640" s="31"/>
      <c r="B640" s="52"/>
      <c r="C640" s="58"/>
      <c r="D640" s="55"/>
      <c r="E640" s="32"/>
      <c r="F640" s="31"/>
      <c r="G640" s="31"/>
      <c r="H640" s="32"/>
      <c r="I640" s="32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31"/>
      <c r="AB640" s="31"/>
    </row>
    <row r="641" spans="1:28" ht="13.2" x14ac:dyDescent="0.25">
      <c r="A641" s="31"/>
      <c r="B641" s="52"/>
      <c r="C641" s="58"/>
      <c r="D641" s="55"/>
      <c r="E641" s="32"/>
      <c r="F641" s="31"/>
      <c r="G641" s="31"/>
      <c r="H641" s="32"/>
      <c r="I641" s="32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31"/>
      <c r="AB641" s="31"/>
    </row>
    <row r="642" spans="1:28" ht="13.2" x14ac:dyDescent="0.25">
      <c r="A642" s="31"/>
      <c r="B642" s="52"/>
      <c r="C642" s="58"/>
      <c r="D642" s="55"/>
      <c r="E642" s="32"/>
      <c r="F642" s="31"/>
      <c r="G642" s="31"/>
      <c r="H642" s="32"/>
      <c r="I642" s="32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31"/>
      <c r="AB642" s="31"/>
    </row>
    <row r="643" spans="1:28" ht="13.2" x14ac:dyDescent="0.25">
      <c r="A643" s="31"/>
      <c r="B643" s="52"/>
      <c r="C643" s="58"/>
      <c r="D643" s="55"/>
      <c r="E643" s="32"/>
      <c r="F643" s="31"/>
      <c r="G643" s="31"/>
      <c r="H643" s="32"/>
      <c r="I643" s="32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31"/>
      <c r="AB643" s="31"/>
    </row>
    <row r="644" spans="1:28" ht="13.2" x14ac:dyDescent="0.25">
      <c r="A644" s="31"/>
      <c r="B644" s="52"/>
      <c r="C644" s="58"/>
      <c r="D644" s="55"/>
      <c r="E644" s="32"/>
      <c r="F644" s="31"/>
      <c r="G644" s="31"/>
      <c r="H644" s="32"/>
      <c r="I644" s="32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31"/>
      <c r="AB644" s="31"/>
    </row>
    <row r="645" spans="1:28" ht="13.2" x14ac:dyDescent="0.25">
      <c r="A645" s="31"/>
      <c r="B645" s="52"/>
      <c r="C645" s="58"/>
      <c r="D645" s="55"/>
      <c r="E645" s="32"/>
      <c r="F645" s="31"/>
      <c r="G645" s="31"/>
      <c r="H645" s="32"/>
      <c r="I645" s="32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31"/>
      <c r="AB645" s="31"/>
    </row>
    <row r="646" spans="1:28" ht="13.2" x14ac:dyDescent="0.25">
      <c r="A646" s="31"/>
      <c r="B646" s="52"/>
      <c r="C646" s="58"/>
      <c r="D646" s="55"/>
      <c r="E646" s="32"/>
      <c r="F646" s="31"/>
      <c r="G646" s="31"/>
      <c r="H646" s="32"/>
      <c r="I646" s="32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31"/>
      <c r="AB646" s="31"/>
    </row>
    <row r="647" spans="1:28" ht="13.2" x14ac:dyDescent="0.25">
      <c r="A647" s="31"/>
      <c r="B647" s="52"/>
      <c r="C647" s="58"/>
      <c r="D647" s="55"/>
      <c r="E647" s="32"/>
      <c r="F647" s="31"/>
      <c r="G647" s="31"/>
      <c r="H647" s="32"/>
      <c r="I647" s="32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31"/>
      <c r="AB647" s="31"/>
    </row>
    <row r="648" spans="1:28" ht="13.2" x14ac:dyDescent="0.25">
      <c r="A648" s="31"/>
      <c r="B648" s="52"/>
      <c r="C648" s="58"/>
      <c r="D648" s="55"/>
      <c r="E648" s="32"/>
      <c r="F648" s="31"/>
      <c r="G648" s="31"/>
      <c r="H648" s="32"/>
      <c r="I648" s="32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31"/>
      <c r="AB648" s="31"/>
    </row>
    <row r="649" spans="1:28" ht="13.2" x14ac:dyDescent="0.25">
      <c r="A649" s="31"/>
      <c r="B649" s="52"/>
      <c r="C649" s="58"/>
      <c r="D649" s="55"/>
      <c r="E649" s="32"/>
      <c r="F649" s="31"/>
      <c r="G649" s="31"/>
      <c r="H649" s="32"/>
      <c r="I649" s="32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31"/>
      <c r="AB649" s="31"/>
    </row>
    <row r="650" spans="1:28" ht="13.2" x14ac:dyDescent="0.25">
      <c r="A650" s="31"/>
      <c r="B650" s="52"/>
      <c r="C650" s="58"/>
      <c r="D650" s="55"/>
      <c r="E650" s="32"/>
      <c r="F650" s="31"/>
      <c r="G650" s="31"/>
      <c r="H650" s="32"/>
      <c r="I650" s="32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31"/>
      <c r="AB650" s="31"/>
    </row>
    <row r="651" spans="1:28" ht="13.2" x14ac:dyDescent="0.25">
      <c r="A651" s="31"/>
      <c r="B651" s="52"/>
      <c r="C651" s="58"/>
      <c r="D651" s="55"/>
      <c r="E651" s="32"/>
      <c r="F651" s="31"/>
      <c r="G651" s="31"/>
      <c r="H651" s="32"/>
      <c r="I651" s="32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31"/>
      <c r="AB651" s="31"/>
    </row>
    <row r="652" spans="1:28" ht="13.2" x14ac:dyDescent="0.25">
      <c r="A652" s="31"/>
      <c r="B652" s="52"/>
      <c r="C652" s="58"/>
      <c r="D652" s="55"/>
      <c r="E652" s="32"/>
      <c r="F652" s="31"/>
      <c r="G652" s="31"/>
      <c r="H652" s="32"/>
      <c r="I652" s="32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31"/>
      <c r="AB652" s="31"/>
    </row>
    <row r="653" spans="1:28" ht="13.2" x14ac:dyDescent="0.25">
      <c r="A653" s="31"/>
      <c r="B653" s="52"/>
      <c r="C653" s="58"/>
      <c r="D653" s="55"/>
      <c r="E653" s="32"/>
      <c r="F653" s="31"/>
      <c r="G653" s="31"/>
      <c r="H653" s="32"/>
      <c r="I653" s="32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31"/>
      <c r="AB653" s="31"/>
    </row>
    <row r="654" spans="1:28" ht="13.2" x14ac:dyDescent="0.25">
      <c r="A654" s="31"/>
      <c r="B654" s="52"/>
      <c r="C654" s="58"/>
      <c r="D654" s="55"/>
      <c r="E654" s="32"/>
      <c r="F654" s="31"/>
      <c r="G654" s="31"/>
      <c r="H654" s="32"/>
      <c r="I654" s="32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31"/>
      <c r="AB654" s="31"/>
    </row>
    <row r="655" spans="1:28" ht="13.2" x14ac:dyDescent="0.25">
      <c r="A655" s="31"/>
      <c r="B655" s="52"/>
      <c r="C655" s="58"/>
      <c r="D655" s="55"/>
      <c r="E655" s="32"/>
      <c r="F655" s="31"/>
      <c r="G655" s="31"/>
      <c r="H655" s="32"/>
      <c r="I655" s="32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31"/>
      <c r="AB655" s="31"/>
    </row>
    <row r="656" spans="1:28" ht="13.2" x14ac:dyDescent="0.25">
      <c r="A656" s="31"/>
      <c r="B656" s="52"/>
      <c r="C656" s="58"/>
      <c r="D656" s="55"/>
      <c r="E656" s="32"/>
      <c r="F656" s="31"/>
      <c r="G656" s="31"/>
      <c r="H656" s="32"/>
      <c r="I656" s="32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31"/>
      <c r="AB656" s="31"/>
    </row>
    <row r="657" spans="1:28" ht="13.2" x14ac:dyDescent="0.25">
      <c r="A657" s="31"/>
      <c r="B657" s="52"/>
      <c r="C657" s="58"/>
      <c r="D657" s="55"/>
      <c r="E657" s="32"/>
      <c r="F657" s="31"/>
      <c r="G657" s="31"/>
      <c r="H657" s="32"/>
      <c r="I657" s="32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31"/>
      <c r="AB657" s="31"/>
    </row>
    <row r="658" spans="1:28" ht="13.2" x14ac:dyDescent="0.25">
      <c r="A658" s="31"/>
      <c r="B658" s="52"/>
      <c r="C658" s="58"/>
      <c r="D658" s="55"/>
      <c r="E658" s="32"/>
      <c r="F658" s="31"/>
      <c r="G658" s="31"/>
      <c r="H658" s="32"/>
      <c r="I658" s="32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31"/>
      <c r="AB658" s="31"/>
    </row>
    <row r="659" spans="1:28" ht="13.2" x14ac:dyDescent="0.25">
      <c r="A659" s="31"/>
      <c r="B659" s="52"/>
      <c r="C659" s="58"/>
      <c r="D659" s="55"/>
      <c r="E659" s="32"/>
      <c r="F659" s="31"/>
      <c r="G659" s="31"/>
      <c r="H659" s="32"/>
      <c r="I659" s="32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31"/>
      <c r="AB659" s="31"/>
    </row>
    <row r="660" spans="1:28" ht="13.2" x14ac:dyDescent="0.25">
      <c r="A660" s="31"/>
      <c r="B660" s="52"/>
      <c r="C660" s="58"/>
      <c r="D660" s="55"/>
      <c r="E660" s="32"/>
      <c r="F660" s="31"/>
      <c r="G660" s="31"/>
      <c r="H660" s="32"/>
      <c r="I660" s="32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31"/>
      <c r="AB660" s="31"/>
    </row>
    <row r="661" spans="1:28" ht="13.2" x14ac:dyDescent="0.25">
      <c r="A661" s="31"/>
      <c r="B661" s="52"/>
      <c r="C661" s="58"/>
      <c r="D661" s="55"/>
      <c r="E661" s="32"/>
      <c r="F661" s="31"/>
      <c r="G661" s="31"/>
      <c r="H661" s="32"/>
      <c r="I661" s="32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31"/>
      <c r="AB661" s="31"/>
    </row>
    <row r="662" spans="1:28" ht="13.2" x14ac:dyDescent="0.25">
      <c r="A662" s="31"/>
      <c r="B662" s="52"/>
      <c r="C662" s="58"/>
      <c r="D662" s="55"/>
      <c r="E662" s="32"/>
      <c r="F662" s="31"/>
      <c r="G662" s="31"/>
      <c r="H662" s="32"/>
      <c r="I662" s="32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31"/>
      <c r="AB662" s="31"/>
    </row>
    <row r="663" spans="1:28" ht="13.2" x14ac:dyDescent="0.25">
      <c r="A663" s="31"/>
      <c r="B663" s="52"/>
      <c r="C663" s="58"/>
      <c r="D663" s="55"/>
      <c r="E663" s="32"/>
      <c r="F663" s="31"/>
      <c r="G663" s="31"/>
      <c r="H663" s="32"/>
      <c r="I663" s="32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31"/>
      <c r="AB663" s="31"/>
    </row>
    <row r="664" spans="1:28" ht="13.2" x14ac:dyDescent="0.25">
      <c r="A664" s="31"/>
      <c r="B664" s="52"/>
      <c r="C664" s="58"/>
      <c r="D664" s="55"/>
      <c r="E664" s="32"/>
      <c r="F664" s="31"/>
      <c r="G664" s="31"/>
      <c r="H664" s="32"/>
      <c r="I664" s="32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31"/>
      <c r="AB664" s="31"/>
    </row>
    <row r="665" spans="1:28" ht="13.2" x14ac:dyDescent="0.25">
      <c r="A665" s="31"/>
      <c r="B665" s="52"/>
      <c r="C665" s="58"/>
      <c r="D665" s="55"/>
      <c r="E665" s="32"/>
      <c r="F665" s="31"/>
      <c r="G665" s="31"/>
      <c r="H665" s="32"/>
      <c r="I665" s="32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31"/>
      <c r="AB665" s="31"/>
    </row>
    <row r="666" spans="1:28" ht="13.2" x14ac:dyDescent="0.25">
      <c r="A666" s="31"/>
      <c r="B666" s="52"/>
      <c r="C666" s="58"/>
      <c r="D666" s="55"/>
      <c r="E666" s="32"/>
      <c r="F666" s="31"/>
      <c r="G666" s="31"/>
      <c r="H666" s="32"/>
      <c r="I666" s="32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31"/>
      <c r="AB666" s="31"/>
    </row>
    <row r="667" spans="1:28" ht="13.2" x14ac:dyDescent="0.25">
      <c r="A667" s="31"/>
      <c r="B667" s="52"/>
      <c r="C667" s="58"/>
      <c r="D667" s="55"/>
      <c r="E667" s="32"/>
      <c r="F667" s="31"/>
      <c r="G667" s="31"/>
      <c r="H667" s="32"/>
      <c r="I667" s="32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31"/>
      <c r="AB667" s="31"/>
    </row>
    <row r="668" spans="1:28" ht="13.2" x14ac:dyDescent="0.25">
      <c r="A668" s="31"/>
      <c r="B668" s="52"/>
      <c r="C668" s="58"/>
      <c r="D668" s="55"/>
      <c r="E668" s="32"/>
      <c r="F668" s="31"/>
      <c r="G668" s="31"/>
      <c r="H668" s="32"/>
      <c r="I668" s="32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31"/>
      <c r="AB668" s="31"/>
    </row>
    <row r="669" spans="1:28" ht="13.2" x14ac:dyDescent="0.25">
      <c r="A669" s="31"/>
      <c r="B669" s="52"/>
      <c r="C669" s="58"/>
      <c r="D669" s="55"/>
      <c r="E669" s="32"/>
      <c r="F669" s="31"/>
      <c r="G669" s="31"/>
      <c r="H669" s="32"/>
      <c r="I669" s="32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31"/>
      <c r="AB669" s="31"/>
    </row>
    <row r="670" spans="1:28" ht="13.2" x14ac:dyDescent="0.25">
      <c r="A670" s="31"/>
      <c r="B670" s="52"/>
      <c r="C670" s="58"/>
      <c r="D670" s="55"/>
      <c r="E670" s="32"/>
      <c r="F670" s="31"/>
      <c r="G670" s="31"/>
      <c r="H670" s="32"/>
      <c r="I670" s="32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31"/>
      <c r="AB670" s="31"/>
    </row>
    <row r="671" spans="1:28" ht="13.2" x14ac:dyDescent="0.25">
      <c r="A671" s="31"/>
      <c r="B671" s="52"/>
      <c r="C671" s="58"/>
      <c r="D671" s="55"/>
      <c r="E671" s="32"/>
      <c r="F671" s="31"/>
      <c r="G671" s="31"/>
      <c r="H671" s="32"/>
      <c r="I671" s="32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31"/>
      <c r="AB671" s="31"/>
    </row>
    <row r="672" spans="1:28" ht="13.2" x14ac:dyDescent="0.25">
      <c r="A672" s="31"/>
      <c r="B672" s="52"/>
      <c r="C672" s="58"/>
      <c r="D672" s="55"/>
      <c r="E672" s="32"/>
      <c r="F672" s="31"/>
      <c r="G672" s="31"/>
      <c r="H672" s="32"/>
      <c r="I672" s="32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31"/>
      <c r="AB672" s="31"/>
    </row>
    <row r="673" spans="1:28" ht="13.2" x14ac:dyDescent="0.25">
      <c r="A673" s="31"/>
      <c r="B673" s="52"/>
      <c r="C673" s="58"/>
      <c r="D673" s="55"/>
      <c r="E673" s="32"/>
      <c r="F673" s="31"/>
      <c r="G673" s="31"/>
      <c r="H673" s="32"/>
      <c r="I673" s="32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31"/>
      <c r="AB673" s="31"/>
    </row>
    <row r="674" spans="1:28" ht="13.2" x14ac:dyDescent="0.25">
      <c r="A674" s="31"/>
      <c r="B674" s="52"/>
      <c r="C674" s="58"/>
      <c r="D674" s="55"/>
      <c r="E674" s="32"/>
      <c r="F674" s="31"/>
      <c r="G674" s="31"/>
      <c r="H674" s="32"/>
      <c r="I674" s="32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31"/>
      <c r="AB674" s="31"/>
    </row>
    <row r="675" spans="1:28" ht="13.2" x14ac:dyDescent="0.25">
      <c r="A675" s="31"/>
      <c r="B675" s="52"/>
      <c r="C675" s="58"/>
      <c r="D675" s="55"/>
      <c r="E675" s="32"/>
      <c r="F675" s="31"/>
      <c r="G675" s="31"/>
      <c r="H675" s="32"/>
      <c r="I675" s="32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31"/>
      <c r="AB675" s="31"/>
    </row>
    <row r="676" spans="1:28" ht="13.2" x14ac:dyDescent="0.25">
      <c r="A676" s="31"/>
      <c r="B676" s="52"/>
      <c r="C676" s="58"/>
      <c r="D676" s="55"/>
      <c r="E676" s="32"/>
      <c r="F676" s="31"/>
      <c r="G676" s="31"/>
      <c r="H676" s="32"/>
      <c r="I676" s="32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31"/>
      <c r="AB676" s="31"/>
    </row>
    <row r="677" spans="1:28" ht="13.2" x14ac:dyDescent="0.25">
      <c r="A677" s="31"/>
      <c r="B677" s="52"/>
      <c r="C677" s="58"/>
      <c r="D677" s="55"/>
      <c r="E677" s="32"/>
      <c r="F677" s="31"/>
      <c r="G677" s="31"/>
      <c r="H677" s="32"/>
      <c r="I677" s="32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31"/>
      <c r="AB677" s="31"/>
    </row>
    <row r="678" spans="1:28" ht="13.2" x14ac:dyDescent="0.25">
      <c r="A678" s="31"/>
      <c r="B678" s="52"/>
      <c r="C678" s="58"/>
      <c r="D678" s="55"/>
      <c r="E678" s="32"/>
      <c r="F678" s="31"/>
      <c r="G678" s="31"/>
      <c r="H678" s="32"/>
      <c r="I678" s="32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31"/>
      <c r="AB678" s="31"/>
    </row>
    <row r="679" spans="1:28" ht="13.2" x14ac:dyDescent="0.25">
      <c r="A679" s="31"/>
      <c r="B679" s="52"/>
      <c r="C679" s="58"/>
      <c r="D679" s="55"/>
      <c r="E679" s="32"/>
      <c r="F679" s="31"/>
      <c r="G679" s="31"/>
      <c r="H679" s="32"/>
      <c r="I679" s="32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31"/>
      <c r="AB679" s="31"/>
    </row>
    <row r="680" spans="1:28" ht="13.2" x14ac:dyDescent="0.25">
      <c r="A680" s="31"/>
      <c r="B680" s="52"/>
      <c r="C680" s="58"/>
      <c r="D680" s="55"/>
      <c r="E680" s="32"/>
      <c r="F680" s="31"/>
      <c r="G680" s="31"/>
      <c r="H680" s="32"/>
      <c r="I680" s="32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31"/>
      <c r="AB680" s="31"/>
    </row>
    <row r="681" spans="1:28" ht="13.2" x14ac:dyDescent="0.25">
      <c r="A681" s="31"/>
      <c r="B681" s="52"/>
      <c r="C681" s="58"/>
      <c r="D681" s="55"/>
      <c r="E681" s="32"/>
      <c r="F681" s="31"/>
      <c r="G681" s="31"/>
      <c r="H681" s="32"/>
      <c r="I681" s="32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31"/>
      <c r="AB681" s="31"/>
    </row>
    <row r="682" spans="1:28" ht="13.2" x14ac:dyDescent="0.25">
      <c r="A682" s="31"/>
      <c r="B682" s="52"/>
      <c r="C682" s="58"/>
      <c r="D682" s="55"/>
      <c r="E682" s="32"/>
      <c r="F682" s="31"/>
      <c r="G682" s="31"/>
      <c r="H682" s="32"/>
      <c r="I682" s="32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31"/>
      <c r="AB682" s="31"/>
    </row>
    <row r="683" spans="1:28" ht="13.2" x14ac:dyDescent="0.25">
      <c r="A683" s="31"/>
      <c r="B683" s="52"/>
      <c r="C683" s="58"/>
      <c r="D683" s="55"/>
      <c r="E683" s="32"/>
      <c r="F683" s="31"/>
      <c r="G683" s="31"/>
      <c r="H683" s="32"/>
      <c r="I683" s="32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31"/>
      <c r="AB683" s="31"/>
    </row>
    <row r="684" spans="1:28" ht="13.2" x14ac:dyDescent="0.25">
      <c r="A684" s="31"/>
      <c r="B684" s="52"/>
      <c r="C684" s="58"/>
      <c r="D684" s="55"/>
      <c r="E684" s="32"/>
      <c r="F684" s="31"/>
      <c r="G684" s="31"/>
      <c r="H684" s="32"/>
      <c r="I684" s="32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31"/>
      <c r="AB684" s="31"/>
    </row>
    <row r="685" spans="1:28" ht="13.2" x14ac:dyDescent="0.25">
      <c r="A685" s="31"/>
      <c r="B685" s="52"/>
      <c r="C685" s="58"/>
      <c r="D685" s="55"/>
      <c r="E685" s="32"/>
      <c r="F685" s="31"/>
      <c r="G685" s="31"/>
      <c r="H685" s="32"/>
      <c r="I685" s="32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31"/>
      <c r="AB685" s="31"/>
    </row>
    <row r="686" spans="1:28" ht="13.2" x14ac:dyDescent="0.25">
      <c r="A686" s="31"/>
      <c r="B686" s="52"/>
      <c r="C686" s="58"/>
      <c r="D686" s="55"/>
      <c r="E686" s="32"/>
      <c r="F686" s="31"/>
      <c r="G686" s="31"/>
      <c r="H686" s="32"/>
      <c r="I686" s="32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31"/>
      <c r="AB686" s="31"/>
    </row>
    <row r="687" spans="1:28" ht="13.2" x14ac:dyDescent="0.25">
      <c r="A687" s="31"/>
      <c r="B687" s="52"/>
      <c r="C687" s="58"/>
      <c r="D687" s="55"/>
      <c r="E687" s="32"/>
      <c r="F687" s="31"/>
      <c r="G687" s="31"/>
      <c r="H687" s="32"/>
      <c r="I687" s="32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31"/>
      <c r="AB687" s="31"/>
    </row>
    <row r="688" spans="1:28" ht="13.2" x14ac:dyDescent="0.25">
      <c r="A688" s="31"/>
      <c r="B688" s="52"/>
      <c r="C688" s="58"/>
      <c r="D688" s="55"/>
      <c r="E688" s="32"/>
      <c r="F688" s="31"/>
      <c r="G688" s="31"/>
      <c r="H688" s="32"/>
      <c r="I688" s="32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31"/>
      <c r="AB688" s="31"/>
    </row>
    <row r="689" spans="1:28" ht="13.2" x14ac:dyDescent="0.25">
      <c r="A689" s="31"/>
      <c r="B689" s="52"/>
      <c r="C689" s="58"/>
      <c r="D689" s="55"/>
      <c r="E689" s="32"/>
      <c r="F689" s="31"/>
      <c r="G689" s="31"/>
      <c r="H689" s="32"/>
      <c r="I689" s="32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31"/>
      <c r="AB689" s="31"/>
    </row>
    <row r="690" spans="1:28" ht="13.2" x14ac:dyDescent="0.25">
      <c r="A690" s="31"/>
      <c r="B690" s="52"/>
      <c r="C690" s="58"/>
      <c r="D690" s="55"/>
      <c r="E690" s="32"/>
      <c r="F690" s="31"/>
      <c r="G690" s="31"/>
      <c r="H690" s="32"/>
      <c r="I690" s="32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31"/>
      <c r="AB690" s="31"/>
    </row>
    <row r="691" spans="1:28" ht="13.2" x14ac:dyDescent="0.25">
      <c r="A691" s="31"/>
      <c r="B691" s="52"/>
      <c r="C691" s="58"/>
      <c r="D691" s="55"/>
      <c r="E691" s="32"/>
      <c r="F691" s="31"/>
      <c r="G691" s="31"/>
      <c r="H691" s="32"/>
      <c r="I691" s="32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31"/>
      <c r="AB691" s="31"/>
    </row>
    <row r="692" spans="1:28" ht="13.2" x14ac:dyDescent="0.25">
      <c r="A692" s="31"/>
      <c r="B692" s="52"/>
      <c r="C692" s="58"/>
      <c r="D692" s="55"/>
      <c r="E692" s="32"/>
      <c r="F692" s="31"/>
      <c r="G692" s="31"/>
      <c r="H692" s="32"/>
      <c r="I692" s="32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31"/>
      <c r="AB692" s="31"/>
    </row>
    <row r="693" spans="1:28" ht="13.2" x14ac:dyDescent="0.25">
      <c r="A693" s="31"/>
      <c r="B693" s="52"/>
      <c r="C693" s="58"/>
      <c r="D693" s="55"/>
      <c r="E693" s="32"/>
      <c r="F693" s="31"/>
      <c r="G693" s="31"/>
      <c r="H693" s="32"/>
      <c r="I693" s="32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31"/>
      <c r="AB693" s="31"/>
    </row>
    <row r="694" spans="1:28" ht="13.2" x14ac:dyDescent="0.25">
      <c r="A694" s="31"/>
      <c r="B694" s="52"/>
      <c r="C694" s="58"/>
      <c r="D694" s="55"/>
      <c r="E694" s="32"/>
      <c r="F694" s="31"/>
      <c r="G694" s="31"/>
      <c r="H694" s="32"/>
      <c r="I694" s="32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31"/>
      <c r="AB694" s="31"/>
    </row>
    <row r="695" spans="1:28" ht="13.2" x14ac:dyDescent="0.25">
      <c r="A695" s="31"/>
      <c r="B695" s="52"/>
      <c r="C695" s="58"/>
      <c r="D695" s="55"/>
      <c r="E695" s="32"/>
      <c r="F695" s="31"/>
      <c r="G695" s="31"/>
      <c r="H695" s="32"/>
      <c r="I695" s="32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31"/>
      <c r="AB695" s="31"/>
    </row>
    <row r="696" spans="1:28" ht="13.2" x14ac:dyDescent="0.25">
      <c r="A696" s="31"/>
      <c r="B696" s="52"/>
      <c r="C696" s="58"/>
      <c r="D696" s="55"/>
      <c r="E696" s="32"/>
      <c r="F696" s="31"/>
      <c r="G696" s="31"/>
      <c r="H696" s="32"/>
      <c r="I696" s="32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31"/>
      <c r="AB696" s="31"/>
    </row>
    <row r="697" spans="1:28" ht="13.2" x14ac:dyDescent="0.25">
      <c r="A697" s="31"/>
      <c r="B697" s="52"/>
      <c r="C697" s="58"/>
      <c r="D697" s="55"/>
      <c r="E697" s="32"/>
      <c r="F697" s="31"/>
      <c r="G697" s="31"/>
      <c r="H697" s="32"/>
      <c r="I697" s="32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31"/>
      <c r="AB697" s="31"/>
    </row>
    <row r="698" spans="1:28" ht="13.2" x14ac:dyDescent="0.25">
      <c r="A698" s="31"/>
      <c r="B698" s="52"/>
      <c r="C698" s="58"/>
      <c r="D698" s="55"/>
      <c r="E698" s="32"/>
      <c r="F698" s="31"/>
      <c r="G698" s="31"/>
      <c r="H698" s="32"/>
      <c r="I698" s="32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31"/>
      <c r="AB698" s="31"/>
    </row>
    <row r="699" spans="1:28" ht="13.2" x14ac:dyDescent="0.25">
      <c r="A699" s="31"/>
      <c r="B699" s="52"/>
      <c r="C699" s="58"/>
      <c r="D699" s="55"/>
      <c r="E699" s="32"/>
      <c r="F699" s="31"/>
      <c r="G699" s="31"/>
      <c r="H699" s="32"/>
      <c r="I699" s="32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31"/>
      <c r="AB699" s="31"/>
    </row>
    <row r="700" spans="1:28" ht="13.2" x14ac:dyDescent="0.25">
      <c r="A700" s="31"/>
      <c r="B700" s="52"/>
      <c r="C700" s="58"/>
      <c r="D700" s="55"/>
      <c r="E700" s="32"/>
      <c r="F700" s="31"/>
      <c r="G700" s="31"/>
      <c r="H700" s="32"/>
      <c r="I700" s="32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31"/>
      <c r="AB700" s="31"/>
    </row>
    <row r="701" spans="1:28" ht="13.2" x14ac:dyDescent="0.25">
      <c r="A701" s="31"/>
      <c r="B701" s="52"/>
      <c r="C701" s="58"/>
      <c r="D701" s="55"/>
      <c r="E701" s="32"/>
      <c r="F701" s="31"/>
      <c r="G701" s="31"/>
      <c r="H701" s="32"/>
      <c r="I701" s="32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31"/>
      <c r="AB701" s="31"/>
    </row>
    <row r="702" spans="1:28" ht="13.2" x14ac:dyDescent="0.25">
      <c r="A702" s="31"/>
      <c r="B702" s="52"/>
      <c r="C702" s="58"/>
      <c r="D702" s="55"/>
      <c r="E702" s="32"/>
      <c r="F702" s="31"/>
      <c r="G702" s="31"/>
      <c r="H702" s="32"/>
      <c r="I702" s="32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31"/>
      <c r="AB702" s="31"/>
    </row>
    <row r="703" spans="1:28" ht="13.2" x14ac:dyDescent="0.25">
      <c r="A703" s="31"/>
      <c r="B703" s="52"/>
      <c r="C703" s="58"/>
      <c r="D703" s="55"/>
      <c r="E703" s="32"/>
      <c r="F703" s="31"/>
      <c r="G703" s="31"/>
      <c r="H703" s="32"/>
      <c r="I703" s="32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31"/>
      <c r="AB703" s="31"/>
    </row>
    <row r="704" spans="1:28" ht="13.2" x14ac:dyDescent="0.25">
      <c r="A704" s="31"/>
      <c r="B704" s="52"/>
      <c r="C704" s="58"/>
      <c r="D704" s="55"/>
      <c r="E704" s="32"/>
      <c r="F704" s="31"/>
      <c r="G704" s="31"/>
      <c r="H704" s="32"/>
      <c r="I704" s="32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31"/>
      <c r="AB704" s="31"/>
    </row>
    <row r="705" spans="1:28" ht="13.2" x14ac:dyDescent="0.25">
      <c r="A705" s="31"/>
      <c r="B705" s="52"/>
      <c r="C705" s="58"/>
      <c r="D705" s="55"/>
      <c r="E705" s="32"/>
      <c r="F705" s="31"/>
      <c r="G705" s="31"/>
      <c r="H705" s="32"/>
      <c r="I705" s="32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31"/>
      <c r="AB705" s="31"/>
    </row>
    <row r="706" spans="1:28" ht="13.2" x14ac:dyDescent="0.25">
      <c r="A706" s="31"/>
      <c r="B706" s="52"/>
      <c r="C706" s="58"/>
      <c r="D706" s="55"/>
      <c r="E706" s="32"/>
      <c r="F706" s="31"/>
      <c r="G706" s="31"/>
      <c r="H706" s="32"/>
      <c r="I706" s="32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31"/>
      <c r="AB706" s="31"/>
    </row>
    <row r="707" spans="1:28" ht="13.2" x14ac:dyDescent="0.25">
      <c r="A707" s="31"/>
      <c r="B707" s="52"/>
      <c r="C707" s="58"/>
      <c r="D707" s="55"/>
      <c r="E707" s="32"/>
      <c r="F707" s="31"/>
      <c r="G707" s="31"/>
      <c r="H707" s="32"/>
      <c r="I707" s="32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31"/>
      <c r="AB707" s="31"/>
    </row>
    <row r="708" spans="1:28" ht="13.2" x14ac:dyDescent="0.25">
      <c r="A708" s="31"/>
      <c r="B708" s="52"/>
      <c r="C708" s="58"/>
      <c r="D708" s="55"/>
      <c r="E708" s="32"/>
      <c r="F708" s="31"/>
      <c r="G708" s="31"/>
      <c r="H708" s="32"/>
      <c r="I708" s="32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31"/>
      <c r="AB708" s="31"/>
    </row>
    <row r="709" spans="1:28" ht="13.2" x14ac:dyDescent="0.25">
      <c r="A709" s="31"/>
      <c r="B709" s="52"/>
      <c r="C709" s="58"/>
      <c r="D709" s="55"/>
      <c r="E709" s="32"/>
      <c r="F709" s="31"/>
      <c r="G709" s="31"/>
      <c r="H709" s="32"/>
      <c r="I709" s="32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31"/>
      <c r="AB709" s="31"/>
    </row>
    <row r="710" spans="1:28" ht="13.2" x14ac:dyDescent="0.25">
      <c r="A710" s="31"/>
      <c r="B710" s="52"/>
      <c r="C710" s="58"/>
      <c r="D710" s="55"/>
      <c r="E710" s="32"/>
      <c r="F710" s="31"/>
      <c r="G710" s="31"/>
      <c r="H710" s="32"/>
      <c r="I710" s="32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31"/>
      <c r="AB710" s="31"/>
    </row>
    <row r="711" spans="1:28" ht="13.2" x14ac:dyDescent="0.25">
      <c r="A711" s="31"/>
      <c r="B711" s="52"/>
      <c r="C711" s="58"/>
      <c r="D711" s="55"/>
      <c r="E711" s="32"/>
      <c r="F711" s="31"/>
      <c r="G711" s="31"/>
      <c r="H711" s="32"/>
      <c r="I711" s="32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31"/>
      <c r="AB711" s="31"/>
    </row>
    <row r="712" spans="1:28" ht="13.2" x14ac:dyDescent="0.25">
      <c r="A712" s="31"/>
      <c r="B712" s="52"/>
      <c r="C712" s="58"/>
      <c r="D712" s="55"/>
      <c r="E712" s="32"/>
      <c r="F712" s="31"/>
      <c r="G712" s="31"/>
      <c r="H712" s="32"/>
      <c r="I712" s="32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31"/>
      <c r="AB712" s="31"/>
    </row>
    <row r="713" spans="1:28" ht="13.2" x14ac:dyDescent="0.25">
      <c r="A713" s="31"/>
      <c r="B713" s="52"/>
      <c r="C713" s="58"/>
      <c r="D713" s="55"/>
      <c r="E713" s="32"/>
      <c r="F713" s="31"/>
      <c r="G713" s="31"/>
      <c r="H713" s="32"/>
      <c r="I713" s="32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31"/>
      <c r="AB713" s="31"/>
    </row>
    <row r="714" spans="1:28" ht="13.2" x14ac:dyDescent="0.25">
      <c r="A714" s="31"/>
      <c r="B714" s="52"/>
      <c r="C714" s="58"/>
      <c r="D714" s="55"/>
      <c r="E714" s="32"/>
      <c r="F714" s="31"/>
      <c r="G714" s="31"/>
      <c r="H714" s="32"/>
      <c r="I714" s="32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31"/>
      <c r="AB714" s="31"/>
    </row>
    <row r="715" spans="1:28" ht="13.2" x14ac:dyDescent="0.25">
      <c r="A715" s="31"/>
      <c r="B715" s="52"/>
      <c r="C715" s="58"/>
      <c r="D715" s="55"/>
      <c r="E715" s="32"/>
      <c r="F715" s="31"/>
      <c r="G715" s="31"/>
      <c r="H715" s="32"/>
      <c r="I715" s="32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31"/>
      <c r="AB715" s="31"/>
    </row>
    <row r="716" spans="1:28" ht="13.2" x14ac:dyDescent="0.25">
      <c r="A716" s="31"/>
      <c r="B716" s="52"/>
      <c r="C716" s="58"/>
      <c r="D716" s="55"/>
      <c r="E716" s="32"/>
      <c r="F716" s="31"/>
      <c r="G716" s="31"/>
      <c r="H716" s="32"/>
      <c r="I716" s="32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31"/>
      <c r="AB716" s="31"/>
    </row>
    <row r="717" spans="1:28" ht="13.2" x14ac:dyDescent="0.25">
      <c r="A717" s="31"/>
      <c r="B717" s="52"/>
      <c r="C717" s="58"/>
      <c r="D717" s="55"/>
      <c r="E717" s="32"/>
      <c r="F717" s="31"/>
      <c r="G717" s="31"/>
      <c r="H717" s="32"/>
      <c r="I717" s="32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31"/>
      <c r="AB717" s="31"/>
    </row>
    <row r="718" spans="1:28" ht="13.2" x14ac:dyDescent="0.25">
      <c r="A718" s="31"/>
      <c r="B718" s="52"/>
      <c r="C718" s="58"/>
      <c r="D718" s="55"/>
      <c r="E718" s="32"/>
      <c r="F718" s="31"/>
      <c r="G718" s="31"/>
      <c r="H718" s="32"/>
      <c r="I718" s="32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31"/>
      <c r="AB718" s="31"/>
    </row>
    <row r="719" spans="1:28" ht="13.2" x14ac:dyDescent="0.25">
      <c r="A719" s="31"/>
      <c r="B719" s="52"/>
      <c r="C719" s="58"/>
      <c r="D719" s="55"/>
      <c r="E719" s="32"/>
      <c r="F719" s="31"/>
      <c r="G719" s="31"/>
      <c r="H719" s="32"/>
      <c r="I719" s="32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31"/>
      <c r="AB719" s="31"/>
    </row>
    <row r="720" spans="1:28" ht="13.2" x14ac:dyDescent="0.25">
      <c r="A720" s="31"/>
      <c r="B720" s="52"/>
      <c r="C720" s="58"/>
      <c r="D720" s="55"/>
      <c r="E720" s="32"/>
      <c r="F720" s="31"/>
      <c r="G720" s="31"/>
      <c r="H720" s="32"/>
      <c r="I720" s="32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31"/>
      <c r="AB720" s="31"/>
    </row>
    <row r="721" spans="1:28" ht="13.2" x14ac:dyDescent="0.25">
      <c r="A721" s="31"/>
      <c r="B721" s="52"/>
      <c r="C721" s="58"/>
      <c r="D721" s="55"/>
      <c r="E721" s="32"/>
      <c r="F721" s="31"/>
      <c r="G721" s="31"/>
      <c r="H721" s="32"/>
      <c r="I721" s="32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31"/>
      <c r="AB721" s="31"/>
    </row>
    <row r="722" spans="1:28" ht="13.2" x14ac:dyDescent="0.25">
      <c r="A722" s="31"/>
      <c r="B722" s="52"/>
      <c r="C722" s="58"/>
      <c r="D722" s="55"/>
      <c r="E722" s="32"/>
      <c r="F722" s="31"/>
      <c r="G722" s="31"/>
      <c r="H722" s="32"/>
      <c r="I722" s="32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31"/>
      <c r="AB722" s="31"/>
    </row>
    <row r="723" spans="1:28" ht="13.2" x14ac:dyDescent="0.25">
      <c r="A723" s="31"/>
      <c r="B723" s="52"/>
      <c r="C723" s="58"/>
      <c r="D723" s="55"/>
      <c r="E723" s="32"/>
      <c r="F723" s="31"/>
      <c r="G723" s="31"/>
      <c r="H723" s="32"/>
      <c r="I723" s="32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31"/>
      <c r="AB723" s="31"/>
    </row>
    <row r="724" spans="1:28" ht="13.2" x14ac:dyDescent="0.25">
      <c r="A724" s="31"/>
      <c r="B724" s="52"/>
      <c r="C724" s="58"/>
      <c r="D724" s="55"/>
      <c r="E724" s="32"/>
      <c r="F724" s="31"/>
      <c r="G724" s="31"/>
      <c r="H724" s="32"/>
      <c r="I724" s="32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31"/>
      <c r="AB724" s="31"/>
    </row>
    <row r="725" spans="1:28" ht="13.2" x14ac:dyDescent="0.25">
      <c r="A725" s="31"/>
      <c r="B725" s="52"/>
      <c r="C725" s="58"/>
      <c r="D725" s="55"/>
      <c r="E725" s="32"/>
      <c r="F725" s="31"/>
      <c r="G725" s="31"/>
      <c r="H725" s="32"/>
      <c r="I725" s="32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31"/>
      <c r="AB725" s="31"/>
    </row>
    <row r="726" spans="1:28" ht="13.2" x14ac:dyDescent="0.25">
      <c r="A726" s="31"/>
      <c r="B726" s="52"/>
      <c r="C726" s="58"/>
      <c r="D726" s="55"/>
      <c r="E726" s="32"/>
      <c r="F726" s="31"/>
      <c r="G726" s="31"/>
      <c r="H726" s="32"/>
      <c r="I726" s="32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31"/>
      <c r="AB726" s="31"/>
    </row>
    <row r="727" spans="1:28" ht="13.2" x14ac:dyDescent="0.25">
      <c r="A727" s="31"/>
      <c r="B727" s="52"/>
      <c r="C727" s="58"/>
      <c r="D727" s="55"/>
      <c r="E727" s="32"/>
      <c r="F727" s="31"/>
      <c r="G727" s="31"/>
      <c r="H727" s="32"/>
      <c r="I727" s="32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31"/>
      <c r="AB727" s="31"/>
    </row>
    <row r="728" spans="1:28" ht="13.2" x14ac:dyDescent="0.25">
      <c r="A728" s="31"/>
      <c r="B728" s="52"/>
      <c r="C728" s="58"/>
      <c r="D728" s="55"/>
      <c r="E728" s="32"/>
      <c r="F728" s="31"/>
      <c r="G728" s="31"/>
      <c r="H728" s="32"/>
      <c r="I728" s="32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31"/>
      <c r="AB728" s="31"/>
    </row>
    <row r="729" spans="1:28" ht="13.2" x14ac:dyDescent="0.25">
      <c r="A729" s="31"/>
      <c r="B729" s="52"/>
      <c r="C729" s="58"/>
      <c r="D729" s="55"/>
      <c r="E729" s="32"/>
      <c r="F729" s="31"/>
      <c r="G729" s="31"/>
      <c r="H729" s="32"/>
      <c r="I729" s="32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31"/>
      <c r="AB729" s="31"/>
    </row>
    <row r="730" spans="1:28" ht="13.2" x14ac:dyDescent="0.25">
      <c r="A730" s="31"/>
      <c r="B730" s="52"/>
      <c r="C730" s="58"/>
      <c r="D730" s="55"/>
      <c r="E730" s="32"/>
      <c r="F730" s="31"/>
      <c r="G730" s="31"/>
      <c r="H730" s="32"/>
      <c r="I730" s="32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31"/>
      <c r="AB730" s="31"/>
    </row>
    <row r="731" spans="1:28" ht="13.2" x14ac:dyDescent="0.25">
      <c r="A731" s="31"/>
      <c r="B731" s="52"/>
      <c r="C731" s="58"/>
      <c r="D731" s="55"/>
      <c r="E731" s="32"/>
      <c r="F731" s="31"/>
      <c r="G731" s="31"/>
      <c r="H731" s="32"/>
      <c r="I731" s="32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31"/>
      <c r="AB731" s="31"/>
    </row>
    <row r="732" spans="1:28" ht="13.2" x14ac:dyDescent="0.25">
      <c r="A732" s="31"/>
      <c r="B732" s="52"/>
      <c r="C732" s="58"/>
      <c r="D732" s="55"/>
      <c r="E732" s="32"/>
      <c r="F732" s="31"/>
      <c r="G732" s="31"/>
      <c r="H732" s="32"/>
      <c r="I732" s="32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31"/>
      <c r="AB732" s="31"/>
    </row>
    <row r="733" spans="1:28" ht="13.2" x14ac:dyDescent="0.25">
      <c r="A733" s="31"/>
      <c r="B733" s="52"/>
      <c r="C733" s="58"/>
      <c r="D733" s="55"/>
      <c r="E733" s="32"/>
      <c r="F733" s="31"/>
      <c r="G733" s="31"/>
      <c r="H733" s="32"/>
      <c r="I733" s="32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31"/>
      <c r="AB733" s="31"/>
    </row>
    <row r="734" spans="1:28" ht="13.2" x14ac:dyDescent="0.25">
      <c r="A734" s="31"/>
      <c r="B734" s="52"/>
      <c r="C734" s="58"/>
      <c r="D734" s="55"/>
      <c r="E734" s="32"/>
      <c r="F734" s="31"/>
      <c r="G734" s="31"/>
      <c r="H734" s="32"/>
      <c r="I734" s="32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31"/>
      <c r="AB734" s="31"/>
    </row>
    <row r="735" spans="1:28" ht="13.2" x14ac:dyDescent="0.25">
      <c r="A735" s="31"/>
      <c r="B735" s="52"/>
      <c r="C735" s="58"/>
      <c r="D735" s="55"/>
      <c r="E735" s="32"/>
      <c r="F735" s="31"/>
      <c r="G735" s="31"/>
      <c r="H735" s="32"/>
      <c r="I735" s="32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31"/>
      <c r="AB735" s="31"/>
    </row>
    <row r="736" spans="1:28" ht="13.2" x14ac:dyDescent="0.25">
      <c r="A736" s="31"/>
      <c r="B736" s="52"/>
      <c r="C736" s="58"/>
      <c r="D736" s="55"/>
      <c r="E736" s="32"/>
      <c r="F736" s="31"/>
      <c r="G736" s="31"/>
      <c r="H736" s="32"/>
      <c r="I736" s="32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31"/>
      <c r="AB736" s="31"/>
    </row>
    <row r="737" spans="1:28" ht="13.2" x14ac:dyDescent="0.25">
      <c r="A737" s="31"/>
      <c r="B737" s="52"/>
      <c r="C737" s="58"/>
      <c r="D737" s="55"/>
      <c r="E737" s="32"/>
      <c r="F737" s="31"/>
      <c r="G737" s="31"/>
      <c r="H737" s="32"/>
      <c r="I737" s="32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31"/>
      <c r="AB737" s="31"/>
    </row>
    <row r="738" spans="1:28" ht="13.2" x14ac:dyDescent="0.25">
      <c r="A738" s="31"/>
      <c r="B738" s="52"/>
      <c r="C738" s="58"/>
      <c r="D738" s="55"/>
      <c r="E738" s="32"/>
      <c r="F738" s="31"/>
      <c r="G738" s="31"/>
      <c r="H738" s="32"/>
      <c r="I738" s="32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31"/>
      <c r="AB738" s="31"/>
    </row>
    <row r="739" spans="1:28" ht="13.2" x14ac:dyDescent="0.25">
      <c r="A739" s="31"/>
      <c r="B739" s="52"/>
      <c r="C739" s="58"/>
      <c r="D739" s="55"/>
      <c r="E739" s="32"/>
      <c r="F739" s="31"/>
      <c r="G739" s="31"/>
      <c r="H739" s="32"/>
      <c r="I739" s="32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31"/>
      <c r="AB739" s="31"/>
    </row>
    <row r="740" spans="1:28" ht="13.2" x14ac:dyDescent="0.25">
      <c r="A740" s="31"/>
      <c r="B740" s="52"/>
      <c r="C740" s="58"/>
      <c r="D740" s="55"/>
      <c r="E740" s="32"/>
      <c r="F740" s="31"/>
      <c r="G740" s="31"/>
      <c r="H740" s="32"/>
      <c r="I740" s="32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31"/>
      <c r="AB740" s="31"/>
    </row>
    <row r="741" spans="1:28" ht="13.2" x14ac:dyDescent="0.25">
      <c r="A741" s="31"/>
      <c r="B741" s="52"/>
      <c r="C741" s="58"/>
      <c r="D741" s="55"/>
      <c r="E741" s="32"/>
      <c r="F741" s="31"/>
      <c r="G741" s="31"/>
      <c r="H741" s="32"/>
      <c r="I741" s="32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31"/>
      <c r="AB741" s="31"/>
    </row>
    <row r="742" spans="1:28" ht="13.2" x14ac:dyDescent="0.25">
      <c r="A742" s="31"/>
      <c r="B742" s="52"/>
      <c r="C742" s="58"/>
      <c r="D742" s="55"/>
      <c r="E742" s="32"/>
      <c r="F742" s="31"/>
      <c r="G742" s="31"/>
      <c r="H742" s="32"/>
      <c r="I742" s="32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31"/>
      <c r="AB742" s="31"/>
    </row>
    <row r="743" spans="1:28" ht="13.2" x14ac:dyDescent="0.25">
      <c r="A743" s="31"/>
      <c r="B743" s="52"/>
      <c r="C743" s="58"/>
      <c r="D743" s="55"/>
      <c r="E743" s="32"/>
      <c r="F743" s="31"/>
      <c r="G743" s="31"/>
      <c r="H743" s="32"/>
      <c r="I743" s="32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31"/>
      <c r="AB743" s="31"/>
    </row>
    <row r="744" spans="1:28" ht="13.2" x14ac:dyDescent="0.25">
      <c r="A744" s="31"/>
      <c r="B744" s="52"/>
      <c r="C744" s="58"/>
      <c r="D744" s="55"/>
      <c r="E744" s="32"/>
      <c r="F744" s="31"/>
      <c r="G744" s="31"/>
      <c r="H744" s="32"/>
      <c r="I744" s="32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31"/>
      <c r="AB744" s="31"/>
    </row>
    <row r="745" spans="1:28" ht="13.2" x14ac:dyDescent="0.25">
      <c r="A745" s="31"/>
      <c r="B745" s="52"/>
      <c r="C745" s="58"/>
      <c r="D745" s="55"/>
      <c r="E745" s="32"/>
      <c r="F745" s="31"/>
      <c r="G745" s="31"/>
      <c r="H745" s="32"/>
      <c r="I745" s="32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31"/>
      <c r="AB745" s="31"/>
    </row>
    <row r="746" spans="1:28" ht="13.2" x14ac:dyDescent="0.25">
      <c r="A746" s="31"/>
      <c r="B746" s="52"/>
      <c r="C746" s="58"/>
      <c r="D746" s="55"/>
      <c r="E746" s="32"/>
      <c r="F746" s="31"/>
      <c r="G746" s="31"/>
      <c r="H746" s="32"/>
      <c r="I746" s="32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31"/>
      <c r="AB746" s="31"/>
    </row>
    <row r="747" spans="1:28" ht="13.2" x14ac:dyDescent="0.25">
      <c r="A747" s="31"/>
      <c r="B747" s="52"/>
      <c r="C747" s="58"/>
      <c r="D747" s="55"/>
      <c r="E747" s="32"/>
      <c r="F747" s="31"/>
      <c r="G747" s="31"/>
      <c r="H747" s="32"/>
      <c r="I747" s="32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31"/>
      <c r="AB747" s="31"/>
    </row>
    <row r="748" spans="1:28" ht="13.2" x14ac:dyDescent="0.25">
      <c r="A748" s="31"/>
      <c r="B748" s="52"/>
      <c r="C748" s="58"/>
      <c r="D748" s="55"/>
      <c r="E748" s="32"/>
      <c r="F748" s="31"/>
      <c r="G748" s="31"/>
      <c r="H748" s="32"/>
      <c r="I748" s="32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31"/>
      <c r="AB748" s="31"/>
    </row>
    <row r="749" spans="1:28" ht="13.2" x14ac:dyDescent="0.25">
      <c r="A749" s="31"/>
      <c r="B749" s="52"/>
      <c r="C749" s="58"/>
      <c r="D749" s="55"/>
      <c r="E749" s="32"/>
      <c r="F749" s="31"/>
      <c r="G749" s="31"/>
      <c r="H749" s="32"/>
      <c r="I749" s="32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31"/>
      <c r="AB749" s="31"/>
    </row>
    <row r="750" spans="1:28" ht="13.2" x14ac:dyDescent="0.25">
      <c r="A750" s="31"/>
      <c r="B750" s="52"/>
      <c r="C750" s="58"/>
      <c r="D750" s="55"/>
      <c r="E750" s="32"/>
      <c r="F750" s="31"/>
      <c r="G750" s="31"/>
      <c r="H750" s="32"/>
      <c r="I750" s="32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31"/>
      <c r="AB750" s="31"/>
    </row>
    <row r="751" spans="1:28" ht="13.2" x14ac:dyDescent="0.25">
      <c r="A751" s="31"/>
      <c r="B751" s="52"/>
      <c r="C751" s="58"/>
      <c r="D751" s="55"/>
      <c r="E751" s="32"/>
      <c r="F751" s="31"/>
      <c r="G751" s="31"/>
      <c r="H751" s="32"/>
      <c r="I751" s="32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31"/>
      <c r="AB751" s="31"/>
    </row>
    <row r="752" spans="1:28" ht="13.2" x14ac:dyDescent="0.25">
      <c r="A752" s="31"/>
      <c r="B752" s="52"/>
      <c r="C752" s="58"/>
      <c r="D752" s="55"/>
      <c r="E752" s="32"/>
      <c r="F752" s="31"/>
      <c r="G752" s="31"/>
      <c r="H752" s="32"/>
      <c r="I752" s="32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31"/>
      <c r="AB752" s="31"/>
    </row>
    <row r="753" spans="1:28" ht="13.2" x14ac:dyDescent="0.25">
      <c r="A753" s="31"/>
      <c r="B753" s="52"/>
      <c r="C753" s="58"/>
      <c r="D753" s="55"/>
      <c r="E753" s="32"/>
      <c r="F753" s="31"/>
      <c r="G753" s="31"/>
      <c r="H753" s="32"/>
      <c r="I753" s="32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31"/>
      <c r="AB753" s="31"/>
    </row>
    <row r="754" spans="1:28" ht="13.2" x14ac:dyDescent="0.25">
      <c r="A754" s="31"/>
      <c r="B754" s="52"/>
      <c r="C754" s="58"/>
      <c r="D754" s="55"/>
      <c r="E754" s="32"/>
      <c r="F754" s="31"/>
      <c r="G754" s="31"/>
      <c r="H754" s="32"/>
      <c r="I754" s="32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31"/>
      <c r="AB754" s="31"/>
    </row>
    <row r="755" spans="1:28" ht="13.2" x14ac:dyDescent="0.25">
      <c r="A755" s="31"/>
      <c r="B755" s="52"/>
      <c r="C755" s="58"/>
      <c r="D755" s="55"/>
      <c r="E755" s="32"/>
      <c r="F755" s="31"/>
      <c r="G755" s="31"/>
      <c r="H755" s="32"/>
      <c r="I755" s="32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31"/>
      <c r="AB755" s="31"/>
    </row>
    <row r="756" spans="1:28" ht="13.2" x14ac:dyDescent="0.25">
      <c r="A756" s="31"/>
      <c r="B756" s="52"/>
      <c r="C756" s="58"/>
      <c r="D756" s="55"/>
      <c r="E756" s="32"/>
      <c r="F756" s="31"/>
      <c r="G756" s="31"/>
      <c r="H756" s="32"/>
      <c r="I756" s="32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31"/>
      <c r="AB756" s="31"/>
    </row>
    <row r="757" spans="1:28" ht="13.2" x14ac:dyDescent="0.25">
      <c r="A757" s="31"/>
      <c r="B757" s="52"/>
      <c r="C757" s="58"/>
      <c r="D757" s="55"/>
      <c r="E757" s="32"/>
      <c r="F757" s="31"/>
      <c r="G757" s="31"/>
      <c r="H757" s="32"/>
      <c r="I757" s="32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31"/>
      <c r="AB757" s="31"/>
    </row>
    <row r="758" spans="1:28" ht="13.2" x14ac:dyDescent="0.25">
      <c r="A758" s="31"/>
      <c r="B758" s="52"/>
      <c r="C758" s="58"/>
      <c r="D758" s="55"/>
      <c r="E758" s="32"/>
      <c r="F758" s="31"/>
      <c r="G758" s="31"/>
      <c r="H758" s="32"/>
      <c r="I758" s="32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31"/>
      <c r="AB758" s="31"/>
    </row>
    <row r="759" spans="1:28" ht="13.2" x14ac:dyDescent="0.25">
      <c r="A759" s="31"/>
      <c r="B759" s="52"/>
      <c r="C759" s="58"/>
      <c r="D759" s="55"/>
      <c r="E759" s="32"/>
      <c r="F759" s="31"/>
      <c r="G759" s="31"/>
      <c r="H759" s="32"/>
      <c r="I759" s="32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31"/>
      <c r="AB759" s="31"/>
    </row>
    <row r="760" spans="1:28" ht="13.2" x14ac:dyDescent="0.25">
      <c r="A760" s="31"/>
      <c r="B760" s="52"/>
      <c r="C760" s="58"/>
      <c r="D760" s="55"/>
      <c r="E760" s="32"/>
      <c r="F760" s="31"/>
      <c r="G760" s="31"/>
      <c r="H760" s="32"/>
      <c r="I760" s="32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31"/>
      <c r="AB760" s="31"/>
    </row>
    <row r="761" spans="1:28" ht="13.2" x14ac:dyDescent="0.25">
      <c r="A761" s="31"/>
      <c r="B761" s="52"/>
      <c r="C761" s="58"/>
      <c r="D761" s="55"/>
      <c r="E761" s="32"/>
      <c r="F761" s="31"/>
      <c r="G761" s="31"/>
      <c r="H761" s="32"/>
      <c r="I761" s="32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31"/>
      <c r="AB761" s="31"/>
    </row>
    <row r="762" spans="1:28" ht="13.2" x14ac:dyDescent="0.25">
      <c r="A762" s="31"/>
      <c r="B762" s="52"/>
      <c r="C762" s="58"/>
      <c r="D762" s="55"/>
      <c r="E762" s="32"/>
      <c r="F762" s="31"/>
      <c r="G762" s="31"/>
      <c r="H762" s="32"/>
      <c r="I762" s="32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31"/>
      <c r="AB762" s="31"/>
    </row>
    <row r="763" spans="1:28" ht="13.2" x14ac:dyDescent="0.25">
      <c r="A763" s="31"/>
      <c r="B763" s="52"/>
      <c r="C763" s="58"/>
      <c r="D763" s="55"/>
      <c r="E763" s="32"/>
      <c r="F763" s="31"/>
      <c r="G763" s="31"/>
      <c r="H763" s="32"/>
      <c r="I763" s="32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31"/>
      <c r="AB763" s="31"/>
    </row>
    <row r="764" spans="1:28" ht="13.2" x14ac:dyDescent="0.25">
      <c r="A764" s="31"/>
      <c r="B764" s="52"/>
      <c r="C764" s="58"/>
      <c r="D764" s="55"/>
      <c r="E764" s="32"/>
      <c r="F764" s="31"/>
      <c r="G764" s="31"/>
      <c r="H764" s="32"/>
      <c r="I764" s="32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31"/>
      <c r="AB764" s="31"/>
    </row>
    <row r="765" spans="1:28" ht="13.2" x14ac:dyDescent="0.25">
      <c r="A765" s="31"/>
      <c r="B765" s="52"/>
      <c r="C765" s="58"/>
      <c r="D765" s="55"/>
      <c r="E765" s="32"/>
      <c r="F765" s="31"/>
      <c r="G765" s="31"/>
      <c r="H765" s="32"/>
      <c r="I765" s="32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31"/>
      <c r="AB765" s="31"/>
    </row>
    <row r="766" spans="1:28" ht="13.2" x14ac:dyDescent="0.25">
      <c r="A766" s="31"/>
      <c r="B766" s="52"/>
      <c r="C766" s="58"/>
      <c r="D766" s="55"/>
      <c r="E766" s="32"/>
      <c r="F766" s="31"/>
      <c r="G766" s="31"/>
      <c r="H766" s="32"/>
      <c r="I766" s="32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31"/>
      <c r="AB766" s="31"/>
    </row>
    <row r="767" spans="1:28" ht="13.2" x14ac:dyDescent="0.25">
      <c r="A767" s="31"/>
      <c r="B767" s="52"/>
      <c r="C767" s="58"/>
      <c r="D767" s="55"/>
      <c r="E767" s="32"/>
      <c r="F767" s="31"/>
      <c r="G767" s="31"/>
      <c r="H767" s="32"/>
      <c r="I767" s="32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31"/>
      <c r="AB767" s="31"/>
    </row>
    <row r="768" spans="1:28" ht="13.2" x14ac:dyDescent="0.25">
      <c r="A768" s="31"/>
      <c r="B768" s="52"/>
      <c r="C768" s="58"/>
      <c r="D768" s="55"/>
      <c r="E768" s="32"/>
      <c r="F768" s="31"/>
      <c r="G768" s="31"/>
      <c r="H768" s="32"/>
      <c r="I768" s="32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31"/>
      <c r="AB768" s="31"/>
    </row>
    <row r="769" spans="1:28" ht="13.2" x14ac:dyDescent="0.25">
      <c r="A769" s="31"/>
      <c r="B769" s="52"/>
      <c r="C769" s="58"/>
      <c r="D769" s="55"/>
      <c r="E769" s="32"/>
      <c r="F769" s="31"/>
      <c r="G769" s="31"/>
      <c r="H769" s="32"/>
      <c r="I769" s="32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31"/>
      <c r="AB769" s="31"/>
    </row>
    <row r="770" spans="1:28" ht="13.2" x14ac:dyDescent="0.25">
      <c r="A770" s="31"/>
      <c r="B770" s="52"/>
      <c r="C770" s="58"/>
      <c r="D770" s="55"/>
      <c r="E770" s="32"/>
      <c r="F770" s="31"/>
      <c r="G770" s="31"/>
      <c r="H770" s="32"/>
      <c r="I770" s="32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31"/>
      <c r="AB770" s="31"/>
    </row>
    <row r="771" spans="1:28" ht="13.2" x14ac:dyDescent="0.25">
      <c r="A771" s="31"/>
      <c r="B771" s="52"/>
      <c r="C771" s="58"/>
      <c r="D771" s="55"/>
      <c r="E771" s="32"/>
      <c r="F771" s="31"/>
      <c r="G771" s="31"/>
      <c r="H771" s="32"/>
      <c r="I771" s="32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31"/>
      <c r="AB771" s="31"/>
    </row>
    <row r="772" spans="1:28" ht="13.2" x14ac:dyDescent="0.25">
      <c r="A772" s="31"/>
      <c r="B772" s="52"/>
      <c r="C772" s="58"/>
      <c r="D772" s="55"/>
      <c r="E772" s="32"/>
      <c r="F772" s="31"/>
      <c r="G772" s="31"/>
      <c r="H772" s="32"/>
      <c r="I772" s="32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31"/>
      <c r="AB772" s="31"/>
    </row>
    <row r="773" spans="1:28" ht="13.2" x14ac:dyDescent="0.25">
      <c r="A773" s="31"/>
      <c r="B773" s="52"/>
      <c r="C773" s="58"/>
      <c r="D773" s="55"/>
      <c r="E773" s="32"/>
      <c r="F773" s="31"/>
      <c r="G773" s="31"/>
      <c r="H773" s="32"/>
      <c r="I773" s="32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31"/>
      <c r="AB773" s="31"/>
    </row>
    <row r="774" spans="1:28" ht="13.2" x14ac:dyDescent="0.25">
      <c r="A774" s="31"/>
      <c r="B774" s="52"/>
      <c r="C774" s="58"/>
      <c r="D774" s="55"/>
      <c r="E774" s="32"/>
      <c r="F774" s="31"/>
      <c r="G774" s="31"/>
      <c r="H774" s="32"/>
      <c r="I774" s="32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31"/>
      <c r="AB774" s="31"/>
    </row>
    <row r="775" spans="1:28" ht="13.2" x14ac:dyDescent="0.25">
      <c r="A775" s="31"/>
      <c r="B775" s="52"/>
      <c r="C775" s="58"/>
      <c r="D775" s="55"/>
      <c r="E775" s="32"/>
      <c r="F775" s="31"/>
      <c r="G775" s="31"/>
      <c r="H775" s="32"/>
      <c r="I775" s="32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31"/>
      <c r="AB775" s="31"/>
    </row>
    <row r="776" spans="1:28" ht="13.2" x14ac:dyDescent="0.25">
      <c r="A776" s="31"/>
      <c r="B776" s="52"/>
      <c r="C776" s="58"/>
      <c r="D776" s="55"/>
      <c r="E776" s="32"/>
      <c r="F776" s="31"/>
      <c r="G776" s="31"/>
      <c r="H776" s="32"/>
      <c r="I776" s="32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31"/>
      <c r="AB776" s="31"/>
    </row>
    <row r="777" spans="1:28" ht="13.2" x14ac:dyDescent="0.25">
      <c r="A777" s="31"/>
      <c r="B777" s="52"/>
      <c r="C777" s="58"/>
      <c r="D777" s="55"/>
      <c r="E777" s="32"/>
      <c r="F777" s="31"/>
      <c r="G777" s="31"/>
      <c r="H777" s="32"/>
      <c r="I777" s="32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31"/>
      <c r="AB777" s="31"/>
    </row>
    <row r="778" spans="1:28" ht="13.2" x14ac:dyDescent="0.25">
      <c r="A778" s="31"/>
      <c r="B778" s="52"/>
      <c r="C778" s="58"/>
      <c r="D778" s="55"/>
      <c r="E778" s="32"/>
      <c r="F778" s="31"/>
      <c r="G778" s="31"/>
      <c r="H778" s="32"/>
      <c r="I778" s="32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31"/>
      <c r="AB778" s="31"/>
    </row>
    <row r="779" spans="1:28" ht="13.2" x14ac:dyDescent="0.25">
      <c r="A779" s="31"/>
      <c r="B779" s="52"/>
      <c r="C779" s="58"/>
      <c r="D779" s="55"/>
      <c r="E779" s="32"/>
      <c r="F779" s="31"/>
      <c r="G779" s="31"/>
      <c r="H779" s="32"/>
      <c r="I779" s="32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31"/>
      <c r="AB779" s="31"/>
    </row>
    <row r="780" spans="1:28" ht="13.2" x14ac:dyDescent="0.25">
      <c r="A780" s="31"/>
      <c r="B780" s="52"/>
      <c r="C780" s="58"/>
      <c r="D780" s="55"/>
      <c r="E780" s="32"/>
      <c r="F780" s="31"/>
      <c r="G780" s="31"/>
      <c r="H780" s="32"/>
      <c r="I780" s="32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31"/>
      <c r="AB780" s="31"/>
    </row>
    <row r="781" spans="1:28" ht="13.2" x14ac:dyDescent="0.25">
      <c r="A781" s="31"/>
      <c r="B781" s="52"/>
      <c r="C781" s="58"/>
      <c r="D781" s="55"/>
      <c r="E781" s="32"/>
      <c r="F781" s="31"/>
      <c r="G781" s="31"/>
      <c r="H781" s="32"/>
      <c r="I781" s="32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31"/>
      <c r="AB781" s="31"/>
    </row>
    <row r="782" spans="1:28" ht="13.2" x14ac:dyDescent="0.25">
      <c r="A782" s="31"/>
      <c r="B782" s="52"/>
      <c r="C782" s="58"/>
      <c r="D782" s="55"/>
      <c r="E782" s="32"/>
      <c r="F782" s="31"/>
      <c r="G782" s="31"/>
      <c r="H782" s="32"/>
      <c r="I782" s="32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31"/>
      <c r="AB782" s="31"/>
    </row>
    <row r="783" spans="1:28" ht="13.2" x14ac:dyDescent="0.25">
      <c r="A783" s="31"/>
      <c r="B783" s="52"/>
      <c r="C783" s="58"/>
      <c r="D783" s="55"/>
      <c r="E783" s="32"/>
      <c r="F783" s="31"/>
      <c r="G783" s="31"/>
      <c r="H783" s="32"/>
      <c r="I783" s="32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31"/>
      <c r="AB783" s="31"/>
    </row>
    <row r="784" spans="1:28" ht="13.2" x14ac:dyDescent="0.25">
      <c r="A784" s="31"/>
      <c r="B784" s="52"/>
      <c r="C784" s="58"/>
      <c r="D784" s="55"/>
      <c r="E784" s="32"/>
      <c r="F784" s="31"/>
      <c r="G784" s="31"/>
      <c r="H784" s="32"/>
      <c r="I784" s="32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31"/>
      <c r="AB784" s="31"/>
    </row>
    <row r="785" spans="1:28" ht="13.2" x14ac:dyDescent="0.25">
      <c r="A785" s="31"/>
      <c r="B785" s="52"/>
      <c r="C785" s="58"/>
      <c r="D785" s="55"/>
      <c r="E785" s="32"/>
      <c r="F785" s="31"/>
      <c r="G785" s="31"/>
      <c r="H785" s="32"/>
      <c r="I785" s="32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31"/>
      <c r="AB785" s="31"/>
    </row>
    <row r="786" spans="1:28" ht="13.2" x14ac:dyDescent="0.25">
      <c r="A786" s="31"/>
      <c r="B786" s="52"/>
      <c r="C786" s="58"/>
      <c r="D786" s="55"/>
      <c r="E786" s="32"/>
      <c r="F786" s="31"/>
      <c r="G786" s="31"/>
      <c r="H786" s="32"/>
      <c r="I786" s="32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31"/>
      <c r="AB786" s="31"/>
    </row>
    <row r="787" spans="1:28" ht="13.2" x14ac:dyDescent="0.25">
      <c r="A787" s="31"/>
      <c r="B787" s="52"/>
      <c r="C787" s="58"/>
      <c r="D787" s="55"/>
      <c r="E787" s="32"/>
      <c r="F787" s="31"/>
      <c r="G787" s="31"/>
      <c r="H787" s="32"/>
      <c r="I787" s="32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31"/>
      <c r="AB787" s="31"/>
    </row>
    <row r="788" spans="1:28" ht="13.2" x14ac:dyDescent="0.25">
      <c r="A788" s="31"/>
      <c r="B788" s="52"/>
      <c r="C788" s="58"/>
      <c r="D788" s="55"/>
      <c r="E788" s="32"/>
      <c r="F788" s="31"/>
      <c r="G788" s="31"/>
      <c r="H788" s="32"/>
      <c r="I788" s="32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31"/>
      <c r="AB788" s="31"/>
    </row>
    <row r="789" spans="1:28" ht="13.2" x14ac:dyDescent="0.25">
      <c r="A789" s="31"/>
      <c r="B789" s="52"/>
      <c r="C789" s="58"/>
      <c r="D789" s="55"/>
      <c r="E789" s="32"/>
      <c r="F789" s="31"/>
      <c r="G789" s="31"/>
      <c r="H789" s="32"/>
      <c r="I789" s="32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31"/>
      <c r="AB789" s="31"/>
    </row>
    <row r="790" spans="1:28" ht="13.2" x14ac:dyDescent="0.25">
      <c r="A790" s="31"/>
      <c r="B790" s="52"/>
      <c r="C790" s="58"/>
      <c r="D790" s="55"/>
      <c r="E790" s="32"/>
      <c r="F790" s="31"/>
      <c r="G790" s="31"/>
      <c r="H790" s="32"/>
      <c r="I790" s="32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31"/>
      <c r="AB790" s="31"/>
    </row>
    <row r="791" spans="1:28" ht="13.2" x14ac:dyDescent="0.25">
      <c r="A791" s="31"/>
      <c r="B791" s="52"/>
      <c r="C791" s="58"/>
      <c r="D791" s="55"/>
      <c r="E791" s="32"/>
      <c r="F791" s="31"/>
      <c r="G791" s="31"/>
      <c r="H791" s="32"/>
      <c r="I791" s="32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31"/>
      <c r="AB791" s="31"/>
    </row>
    <row r="792" spans="1:28" ht="13.2" x14ac:dyDescent="0.25">
      <c r="A792" s="31"/>
      <c r="B792" s="52"/>
      <c r="C792" s="58"/>
      <c r="D792" s="55"/>
      <c r="E792" s="32"/>
      <c r="F792" s="31"/>
      <c r="G792" s="31"/>
      <c r="H792" s="32"/>
      <c r="I792" s="32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31"/>
      <c r="AB792" s="31"/>
    </row>
    <row r="793" spans="1:28" ht="13.2" x14ac:dyDescent="0.25">
      <c r="A793" s="31"/>
      <c r="B793" s="52"/>
      <c r="C793" s="58"/>
      <c r="D793" s="55"/>
      <c r="E793" s="32"/>
      <c r="F793" s="31"/>
      <c r="G793" s="31"/>
      <c r="H793" s="32"/>
      <c r="I793" s="32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31"/>
      <c r="AB793" s="31"/>
    </row>
    <row r="794" spans="1:28" ht="13.2" x14ac:dyDescent="0.25">
      <c r="A794" s="31"/>
      <c r="B794" s="52"/>
      <c r="C794" s="58"/>
      <c r="D794" s="55"/>
      <c r="E794" s="32"/>
      <c r="F794" s="31"/>
      <c r="G794" s="31"/>
      <c r="H794" s="32"/>
      <c r="I794" s="32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31"/>
      <c r="AB794" s="31"/>
    </row>
    <row r="795" spans="1:28" ht="13.2" x14ac:dyDescent="0.25">
      <c r="A795" s="31"/>
      <c r="B795" s="52"/>
      <c r="C795" s="58"/>
      <c r="D795" s="55"/>
      <c r="E795" s="32"/>
      <c r="F795" s="31"/>
      <c r="G795" s="31"/>
      <c r="H795" s="32"/>
      <c r="I795" s="32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31"/>
      <c r="AB795" s="31"/>
    </row>
    <row r="796" spans="1:28" ht="13.2" x14ac:dyDescent="0.25">
      <c r="A796" s="31"/>
      <c r="B796" s="52"/>
      <c r="C796" s="58"/>
      <c r="D796" s="55"/>
      <c r="E796" s="32"/>
      <c r="F796" s="31"/>
      <c r="G796" s="31"/>
      <c r="H796" s="32"/>
      <c r="I796" s="32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31"/>
      <c r="AB796" s="31"/>
    </row>
    <row r="797" spans="1:28" ht="13.2" x14ac:dyDescent="0.25">
      <c r="A797" s="31"/>
      <c r="B797" s="52"/>
      <c r="C797" s="58"/>
      <c r="D797" s="55"/>
      <c r="E797" s="32"/>
      <c r="F797" s="31"/>
      <c r="G797" s="31"/>
      <c r="H797" s="32"/>
      <c r="I797" s="32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31"/>
      <c r="AB797" s="31"/>
    </row>
    <row r="798" spans="1:28" ht="13.2" x14ac:dyDescent="0.25">
      <c r="A798" s="31"/>
      <c r="B798" s="52"/>
      <c r="C798" s="58"/>
      <c r="D798" s="55"/>
      <c r="E798" s="32"/>
      <c r="F798" s="31"/>
      <c r="G798" s="31"/>
      <c r="H798" s="32"/>
      <c r="I798" s="32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31"/>
      <c r="AB798" s="31"/>
    </row>
    <row r="799" spans="1:28" ht="13.2" x14ac:dyDescent="0.25">
      <c r="A799" s="31"/>
      <c r="B799" s="52"/>
      <c r="C799" s="58"/>
      <c r="D799" s="55"/>
      <c r="E799" s="32"/>
      <c r="F799" s="31"/>
      <c r="G799" s="31"/>
      <c r="H799" s="32"/>
      <c r="I799" s="32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31"/>
      <c r="AB799" s="31"/>
    </row>
    <row r="800" spans="1:28" ht="13.2" x14ac:dyDescent="0.25">
      <c r="A800" s="31"/>
      <c r="B800" s="52"/>
      <c r="C800" s="58"/>
      <c r="D800" s="55"/>
      <c r="E800" s="32"/>
      <c r="F800" s="31"/>
      <c r="G800" s="31"/>
      <c r="H800" s="32"/>
      <c r="I800" s="32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31"/>
      <c r="AB800" s="31"/>
    </row>
    <row r="801" spans="1:28" ht="13.2" x14ac:dyDescent="0.25">
      <c r="A801" s="31"/>
      <c r="B801" s="52"/>
      <c r="C801" s="58"/>
      <c r="D801" s="55"/>
      <c r="E801" s="32"/>
      <c r="F801" s="31"/>
      <c r="G801" s="31"/>
      <c r="H801" s="32"/>
      <c r="I801" s="32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31"/>
      <c r="AB801" s="31"/>
    </row>
    <row r="802" spans="1:28" ht="13.2" x14ac:dyDescent="0.25">
      <c r="A802" s="31"/>
      <c r="B802" s="52"/>
      <c r="C802" s="58"/>
      <c r="D802" s="55"/>
      <c r="E802" s="32"/>
      <c r="F802" s="31"/>
      <c r="G802" s="31"/>
      <c r="H802" s="32"/>
      <c r="I802" s="32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31"/>
      <c r="AB802" s="31"/>
    </row>
    <row r="803" spans="1:28" ht="13.2" x14ac:dyDescent="0.25">
      <c r="A803" s="31"/>
      <c r="B803" s="52"/>
      <c r="C803" s="58"/>
      <c r="D803" s="55"/>
      <c r="E803" s="32"/>
      <c r="F803" s="31"/>
      <c r="G803" s="31"/>
      <c r="H803" s="32"/>
      <c r="I803" s="32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31"/>
      <c r="AB803" s="31"/>
    </row>
    <row r="804" spans="1:28" ht="13.2" x14ac:dyDescent="0.25">
      <c r="A804" s="31"/>
      <c r="B804" s="52"/>
      <c r="C804" s="58"/>
      <c r="D804" s="55"/>
      <c r="E804" s="32"/>
      <c r="F804" s="31"/>
      <c r="G804" s="31"/>
      <c r="H804" s="32"/>
      <c r="I804" s="32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31"/>
      <c r="AB804" s="31"/>
    </row>
    <row r="805" spans="1:28" ht="13.2" x14ac:dyDescent="0.25">
      <c r="A805" s="31"/>
      <c r="B805" s="52"/>
      <c r="C805" s="58"/>
      <c r="D805" s="55"/>
      <c r="E805" s="32"/>
      <c r="F805" s="31"/>
      <c r="G805" s="31"/>
      <c r="H805" s="32"/>
      <c r="I805" s="32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31"/>
      <c r="AB805" s="31"/>
    </row>
    <row r="806" spans="1:28" ht="13.2" x14ac:dyDescent="0.25">
      <c r="A806" s="31"/>
      <c r="B806" s="52"/>
      <c r="C806" s="58"/>
      <c r="D806" s="55"/>
      <c r="E806" s="32"/>
      <c r="F806" s="31"/>
      <c r="G806" s="31"/>
      <c r="H806" s="32"/>
      <c r="I806" s="32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31"/>
      <c r="AB806" s="31"/>
    </row>
    <row r="807" spans="1:28" ht="13.2" x14ac:dyDescent="0.25">
      <c r="A807" s="31"/>
      <c r="B807" s="52"/>
      <c r="C807" s="58"/>
      <c r="D807" s="55"/>
      <c r="E807" s="32"/>
      <c r="F807" s="31"/>
      <c r="G807" s="31"/>
      <c r="H807" s="32"/>
      <c r="I807" s="32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31"/>
      <c r="AB807" s="31"/>
    </row>
    <row r="808" spans="1:28" ht="13.2" x14ac:dyDescent="0.25">
      <c r="A808" s="31"/>
      <c r="B808" s="52"/>
      <c r="C808" s="58"/>
      <c r="D808" s="55"/>
      <c r="E808" s="32"/>
      <c r="F808" s="31"/>
      <c r="G808" s="31"/>
      <c r="H808" s="32"/>
      <c r="I808" s="32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31"/>
      <c r="AB808" s="31"/>
    </row>
    <row r="809" spans="1:28" ht="13.2" x14ac:dyDescent="0.25">
      <c r="A809" s="31"/>
      <c r="B809" s="52"/>
      <c r="C809" s="58"/>
      <c r="D809" s="55"/>
      <c r="E809" s="32"/>
      <c r="F809" s="31"/>
      <c r="G809" s="31"/>
      <c r="H809" s="32"/>
      <c r="I809" s="32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31"/>
      <c r="AB809" s="31"/>
    </row>
    <row r="810" spans="1:28" ht="13.2" x14ac:dyDescent="0.25">
      <c r="A810" s="31"/>
      <c r="B810" s="52"/>
      <c r="C810" s="58"/>
      <c r="D810" s="55"/>
      <c r="E810" s="32"/>
      <c r="F810" s="31"/>
      <c r="G810" s="31"/>
      <c r="H810" s="32"/>
      <c r="I810" s="32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31"/>
      <c r="AB810" s="31"/>
    </row>
    <row r="811" spans="1:28" ht="13.2" x14ac:dyDescent="0.25">
      <c r="A811" s="31"/>
      <c r="B811" s="52"/>
      <c r="C811" s="58"/>
      <c r="D811" s="55"/>
      <c r="E811" s="32"/>
      <c r="F811" s="31"/>
      <c r="G811" s="31"/>
      <c r="H811" s="32"/>
      <c r="I811" s="32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31"/>
      <c r="AB811" s="31"/>
    </row>
    <row r="812" spans="1:28" ht="13.2" x14ac:dyDescent="0.25">
      <c r="A812" s="31"/>
      <c r="B812" s="52"/>
      <c r="C812" s="58"/>
      <c r="D812" s="55"/>
      <c r="E812" s="32"/>
      <c r="F812" s="31"/>
      <c r="G812" s="31"/>
      <c r="H812" s="32"/>
      <c r="I812" s="32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31"/>
      <c r="AB812" s="31"/>
    </row>
    <row r="813" spans="1:28" ht="13.2" x14ac:dyDescent="0.25">
      <c r="A813" s="31"/>
      <c r="B813" s="52"/>
      <c r="C813" s="58"/>
      <c r="D813" s="55"/>
      <c r="E813" s="32"/>
      <c r="F813" s="31"/>
      <c r="G813" s="31"/>
      <c r="H813" s="32"/>
      <c r="I813" s="32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31"/>
      <c r="AB813" s="31"/>
    </row>
    <row r="814" spans="1:28" ht="13.2" x14ac:dyDescent="0.25">
      <c r="A814" s="31"/>
      <c r="B814" s="52"/>
      <c r="C814" s="58"/>
      <c r="D814" s="55"/>
      <c r="E814" s="32"/>
      <c r="F814" s="31"/>
      <c r="G814" s="31"/>
      <c r="H814" s="32"/>
      <c r="I814" s="32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31"/>
      <c r="AB814" s="31"/>
    </row>
    <row r="815" spans="1:28" ht="13.2" x14ac:dyDescent="0.25">
      <c r="A815" s="31"/>
      <c r="B815" s="52"/>
      <c r="C815" s="58"/>
      <c r="D815" s="55"/>
      <c r="E815" s="32"/>
      <c r="F815" s="31"/>
      <c r="G815" s="31"/>
      <c r="H815" s="32"/>
      <c r="I815" s="32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31"/>
      <c r="AB815" s="31"/>
    </row>
    <row r="816" spans="1:28" ht="13.2" x14ac:dyDescent="0.25">
      <c r="A816" s="31"/>
      <c r="B816" s="52"/>
      <c r="C816" s="58"/>
      <c r="D816" s="55"/>
      <c r="E816" s="32"/>
      <c r="F816" s="31"/>
      <c r="G816" s="31"/>
      <c r="H816" s="32"/>
      <c r="I816" s="32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31"/>
      <c r="AB816" s="31"/>
    </row>
    <row r="817" spans="1:28" ht="13.2" x14ac:dyDescent="0.25">
      <c r="A817" s="31"/>
      <c r="B817" s="52"/>
      <c r="C817" s="58"/>
      <c r="D817" s="55"/>
      <c r="E817" s="32"/>
      <c r="F817" s="31"/>
      <c r="G817" s="31"/>
      <c r="H817" s="32"/>
      <c r="I817" s="32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31"/>
      <c r="AB817" s="31"/>
    </row>
    <row r="818" spans="1:28" ht="13.2" x14ac:dyDescent="0.25">
      <c r="A818" s="31"/>
      <c r="B818" s="52"/>
      <c r="C818" s="58"/>
      <c r="D818" s="55"/>
      <c r="E818" s="32"/>
      <c r="F818" s="31"/>
      <c r="G818" s="31"/>
      <c r="H818" s="32"/>
      <c r="I818" s="32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31"/>
      <c r="AB818" s="31"/>
    </row>
    <row r="819" spans="1:28" ht="13.2" x14ac:dyDescent="0.25">
      <c r="A819" s="31"/>
      <c r="B819" s="52"/>
      <c r="C819" s="58"/>
      <c r="D819" s="55"/>
      <c r="E819" s="32"/>
      <c r="F819" s="31"/>
      <c r="G819" s="31"/>
      <c r="H819" s="32"/>
      <c r="I819" s="32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31"/>
      <c r="AB819" s="31"/>
    </row>
    <row r="820" spans="1:28" ht="13.2" x14ac:dyDescent="0.25">
      <c r="A820" s="31"/>
      <c r="B820" s="52"/>
      <c r="C820" s="58"/>
      <c r="D820" s="55"/>
      <c r="E820" s="32"/>
      <c r="F820" s="31"/>
      <c r="G820" s="31"/>
      <c r="H820" s="32"/>
      <c r="I820" s="32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31"/>
      <c r="AB820" s="31"/>
    </row>
    <row r="821" spans="1:28" ht="13.2" x14ac:dyDescent="0.25">
      <c r="A821" s="31"/>
      <c r="B821" s="52"/>
      <c r="C821" s="58"/>
      <c r="D821" s="55"/>
      <c r="E821" s="32"/>
      <c r="F821" s="31"/>
      <c r="G821" s="31"/>
      <c r="H821" s="32"/>
      <c r="I821" s="32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31"/>
      <c r="AB821" s="31"/>
    </row>
    <row r="822" spans="1:28" ht="13.2" x14ac:dyDescent="0.25">
      <c r="A822" s="31"/>
      <c r="B822" s="52"/>
      <c r="C822" s="58"/>
      <c r="D822" s="55"/>
      <c r="E822" s="32"/>
      <c r="F822" s="31"/>
      <c r="G822" s="31"/>
      <c r="H822" s="32"/>
      <c r="I822" s="32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31"/>
      <c r="AB822" s="31"/>
    </row>
    <row r="823" spans="1:28" ht="13.2" x14ac:dyDescent="0.25">
      <c r="A823" s="31"/>
      <c r="B823" s="52"/>
      <c r="C823" s="58"/>
      <c r="D823" s="55"/>
      <c r="E823" s="32"/>
      <c r="F823" s="31"/>
      <c r="G823" s="31"/>
      <c r="H823" s="32"/>
      <c r="I823" s="32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31"/>
      <c r="AB823" s="31"/>
    </row>
    <row r="824" spans="1:28" ht="13.2" x14ac:dyDescent="0.25">
      <c r="A824" s="31"/>
      <c r="B824" s="52"/>
      <c r="C824" s="58"/>
      <c r="D824" s="55"/>
      <c r="E824" s="32"/>
      <c r="F824" s="31"/>
      <c r="G824" s="31"/>
      <c r="H824" s="32"/>
      <c r="I824" s="32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31"/>
      <c r="AB824" s="31"/>
    </row>
    <row r="825" spans="1:28" ht="13.2" x14ac:dyDescent="0.25">
      <c r="A825" s="31"/>
      <c r="B825" s="52"/>
      <c r="C825" s="58"/>
      <c r="D825" s="55"/>
      <c r="E825" s="32"/>
      <c r="F825" s="31"/>
      <c r="G825" s="31"/>
      <c r="H825" s="32"/>
      <c r="I825" s="32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31"/>
      <c r="AB825" s="31"/>
    </row>
    <row r="826" spans="1:28" ht="13.2" x14ac:dyDescent="0.25">
      <c r="A826" s="31"/>
      <c r="B826" s="52"/>
      <c r="C826" s="58"/>
      <c r="D826" s="55"/>
      <c r="E826" s="32"/>
      <c r="F826" s="31"/>
      <c r="G826" s="31"/>
      <c r="H826" s="32"/>
      <c r="I826" s="32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31"/>
      <c r="AB826" s="31"/>
    </row>
    <row r="827" spans="1:28" ht="13.2" x14ac:dyDescent="0.25">
      <c r="A827" s="31"/>
      <c r="B827" s="52"/>
      <c r="C827" s="58"/>
      <c r="D827" s="55"/>
      <c r="E827" s="32"/>
      <c r="F827" s="31"/>
      <c r="G827" s="31"/>
      <c r="H827" s="32"/>
      <c r="I827" s="32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31"/>
      <c r="AB827" s="31"/>
    </row>
    <row r="828" spans="1:28" ht="13.2" x14ac:dyDescent="0.25">
      <c r="A828" s="31"/>
      <c r="B828" s="52"/>
      <c r="C828" s="58"/>
      <c r="D828" s="55"/>
      <c r="E828" s="32"/>
      <c r="F828" s="31"/>
      <c r="G828" s="31"/>
      <c r="H828" s="32"/>
      <c r="I828" s="32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31"/>
      <c r="AB828" s="31"/>
    </row>
    <row r="829" spans="1:28" ht="13.2" x14ac:dyDescent="0.25">
      <c r="A829" s="31"/>
      <c r="B829" s="52"/>
      <c r="C829" s="58"/>
      <c r="D829" s="55"/>
      <c r="E829" s="32"/>
      <c r="F829" s="31"/>
      <c r="G829" s="31"/>
      <c r="H829" s="32"/>
      <c r="I829" s="32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31"/>
      <c r="AB829" s="31"/>
    </row>
    <row r="830" spans="1:28" ht="13.2" x14ac:dyDescent="0.25">
      <c r="A830" s="31"/>
      <c r="B830" s="52"/>
      <c r="C830" s="58"/>
      <c r="D830" s="55"/>
      <c r="E830" s="32"/>
      <c r="F830" s="31"/>
      <c r="G830" s="31"/>
      <c r="H830" s="32"/>
      <c r="I830" s="32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31"/>
      <c r="AB830" s="31"/>
    </row>
    <row r="831" spans="1:28" ht="13.2" x14ac:dyDescent="0.25">
      <c r="A831" s="31"/>
      <c r="B831" s="52"/>
      <c r="C831" s="58"/>
      <c r="D831" s="55"/>
      <c r="E831" s="32"/>
      <c r="F831" s="31"/>
      <c r="G831" s="31"/>
      <c r="H831" s="32"/>
      <c r="I831" s="32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31"/>
      <c r="AB831" s="31"/>
    </row>
    <row r="832" spans="1:28" ht="13.2" x14ac:dyDescent="0.25">
      <c r="A832" s="31"/>
      <c r="B832" s="52"/>
      <c r="C832" s="58"/>
      <c r="D832" s="55"/>
      <c r="E832" s="32"/>
      <c r="F832" s="31"/>
      <c r="G832" s="31"/>
      <c r="H832" s="32"/>
      <c r="I832" s="32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31"/>
      <c r="AB832" s="31"/>
    </row>
    <row r="833" spans="1:28" ht="13.2" x14ac:dyDescent="0.25">
      <c r="A833" s="31"/>
      <c r="B833" s="52"/>
      <c r="C833" s="58"/>
      <c r="D833" s="55"/>
      <c r="E833" s="32"/>
      <c r="F833" s="31"/>
      <c r="G833" s="31"/>
      <c r="H833" s="32"/>
      <c r="I833" s="32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31"/>
      <c r="AB833" s="31"/>
    </row>
    <row r="834" spans="1:28" ht="13.2" x14ac:dyDescent="0.25">
      <c r="A834" s="31"/>
      <c r="B834" s="52"/>
      <c r="C834" s="58"/>
      <c r="D834" s="55"/>
      <c r="E834" s="32"/>
      <c r="F834" s="31"/>
      <c r="G834" s="31"/>
      <c r="H834" s="32"/>
      <c r="I834" s="32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31"/>
      <c r="AB834" s="31"/>
    </row>
    <row r="835" spans="1:28" ht="13.2" x14ac:dyDescent="0.25">
      <c r="A835" s="31"/>
      <c r="B835" s="52"/>
      <c r="C835" s="58"/>
      <c r="D835" s="55"/>
      <c r="E835" s="32"/>
      <c r="F835" s="31"/>
      <c r="G835" s="31"/>
      <c r="H835" s="32"/>
      <c r="I835" s="32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31"/>
      <c r="AB835" s="31"/>
    </row>
    <row r="836" spans="1:28" ht="13.2" x14ac:dyDescent="0.25">
      <c r="A836" s="31"/>
      <c r="B836" s="52"/>
      <c r="C836" s="58"/>
      <c r="D836" s="55"/>
      <c r="E836" s="32"/>
      <c r="F836" s="31"/>
      <c r="G836" s="31"/>
      <c r="H836" s="32"/>
      <c r="I836" s="32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31"/>
      <c r="AB836" s="31"/>
    </row>
    <row r="837" spans="1:28" ht="13.2" x14ac:dyDescent="0.25">
      <c r="A837" s="31"/>
      <c r="B837" s="52"/>
      <c r="C837" s="58"/>
      <c r="D837" s="55"/>
      <c r="E837" s="32"/>
      <c r="F837" s="31"/>
      <c r="G837" s="31"/>
      <c r="H837" s="32"/>
      <c r="I837" s="32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31"/>
      <c r="AB837" s="31"/>
    </row>
    <row r="838" spans="1:28" ht="13.2" x14ac:dyDescent="0.25">
      <c r="A838" s="31"/>
      <c r="B838" s="52"/>
      <c r="C838" s="58"/>
      <c r="D838" s="55"/>
      <c r="E838" s="32"/>
      <c r="F838" s="31"/>
      <c r="G838" s="31"/>
      <c r="H838" s="32"/>
      <c r="I838" s="32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31"/>
      <c r="AB838" s="31"/>
    </row>
    <row r="839" spans="1:28" ht="13.2" x14ac:dyDescent="0.25">
      <c r="A839" s="31"/>
      <c r="B839" s="52"/>
      <c r="C839" s="58"/>
      <c r="D839" s="55"/>
      <c r="E839" s="32"/>
      <c r="F839" s="31"/>
      <c r="G839" s="31"/>
      <c r="H839" s="32"/>
      <c r="I839" s="32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31"/>
      <c r="AB839" s="31"/>
    </row>
    <row r="840" spans="1:28" ht="13.2" x14ac:dyDescent="0.25">
      <c r="A840" s="31"/>
      <c r="B840" s="52"/>
      <c r="C840" s="58"/>
      <c r="D840" s="55"/>
      <c r="E840" s="32"/>
      <c r="F840" s="31"/>
      <c r="G840" s="31"/>
      <c r="H840" s="32"/>
      <c r="I840" s="32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31"/>
      <c r="AB840" s="31"/>
    </row>
    <row r="841" spans="1:28" ht="13.2" x14ac:dyDescent="0.25">
      <c r="A841" s="31"/>
      <c r="B841" s="52"/>
      <c r="C841" s="58"/>
      <c r="D841" s="55"/>
      <c r="E841" s="32"/>
      <c r="F841" s="31"/>
      <c r="G841" s="31"/>
      <c r="H841" s="32"/>
      <c r="I841" s="32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31"/>
      <c r="AB841" s="31"/>
    </row>
    <row r="842" spans="1:28" ht="13.2" x14ac:dyDescent="0.25">
      <c r="A842" s="31"/>
      <c r="B842" s="52"/>
      <c r="C842" s="58"/>
      <c r="D842" s="55"/>
      <c r="E842" s="32"/>
      <c r="F842" s="31"/>
      <c r="G842" s="31"/>
      <c r="H842" s="32"/>
      <c r="I842" s="32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31"/>
      <c r="AB842" s="31"/>
    </row>
    <row r="843" spans="1:28" ht="13.2" x14ac:dyDescent="0.25">
      <c r="A843" s="31"/>
      <c r="B843" s="52"/>
      <c r="C843" s="58"/>
      <c r="D843" s="55"/>
      <c r="E843" s="32"/>
      <c r="F843" s="31"/>
      <c r="G843" s="31"/>
      <c r="H843" s="32"/>
      <c r="I843" s="32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31"/>
      <c r="AB843" s="31"/>
    </row>
    <row r="844" spans="1:28" ht="13.2" x14ac:dyDescent="0.25">
      <c r="A844" s="31"/>
      <c r="B844" s="52"/>
      <c r="C844" s="58"/>
      <c r="D844" s="55"/>
      <c r="E844" s="32"/>
      <c r="F844" s="31"/>
      <c r="G844" s="31"/>
      <c r="H844" s="32"/>
      <c r="I844" s="32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31"/>
      <c r="AB844" s="31"/>
    </row>
    <row r="845" spans="1:28" ht="13.2" x14ac:dyDescent="0.25">
      <c r="A845" s="31"/>
      <c r="B845" s="52"/>
      <c r="C845" s="58"/>
      <c r="D845" s="55"/>
      <c r="E845" s="32"/>
      <c r="F845" s="31"/>
      <c r="G845" s="31"/>
      <c r="H845" s="32"/>
      <c r="I845" s="32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31"/>
      <c r="AB845" s="31"/>
    </row>
    <row r="846" spans="1:28" ht="13.2" x14ac:dyDescent="0.25">
      <c r="A846" s="31"/>
      <c r="B846" s="52"/>
      <c r="C846" s="58"/>
      <c r="D846" s="55"/>
      <c r="E846" s="32"/>
      <c r="F846" s="31"/>
      <c r="G846" s="31"/>
      <c r="H846" s="32"/>
      <c r="I846" s="32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31"/>
      <c r="AB846" s="31"/>
    </row>
    <row r="847" spans="1:28" ht="13.2" x14ac:dyDescent="0.25">
      <c r="A847" s="31"/>
      <c r="B847" s="52"/>
      <c r="C847" s="58"/>
      <c r="D847" s="55"/>
      <c r="E847" s="32"/>
      <c r="F847" s="31"/>
      <c r="G847" s="31"/>
      <c r="H847" s="32"/>
      <c r="I847" s="32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31"/>
      <c r="AB847" s="31"/>
    </row>
    <row r="848" spans="1:28" ht="13.2" x14ac:dyDescent="0.25">
      <c r="A848" s="31"/>
      <c r="B848" s="52"/>
      <c r="C848" s="58"/>
      <c r="D848" s="55"/>
      <c r="E848" s="32"/>
      <c r="F848" s="31"/>
      <c r="G848" s="31"/>
      <c r="H848" s="32"/>
      <c r="I848" s="32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31"/>
      <c r="AB848" s="31"/>
    </row>
    <row r="849" spans="1:28" ht="13.2" x14ac:dyDescent="0.25">
      <c r="A849" s="31"/>
      <c r="B849" s="52"/>
      <c r="C849" s="58"/>
      <c r="D849" s="55"/>
      <c r="E849" s="32"/>
      <c r="F849" s="31"/>
      <c r="G849" s="31"/>
      <c r="H849" s="32"/>
      <c r="I849" s="32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31"/>
      <c r="AB849" s="31"/>
    </row>
    <row r="850" spans="1:28" ht="13.2" x14ac:dyDescent="0.25">
      <c r="A850" s="31"/>
      <c r="B850" s="52"/>
      <c r="C850" s="58"/>
      <c r="D850" s="55"/>
      <c r="E850" s="32"/>
      <c r="F850" s="31"/>
      <c r="G850" s="31"/>
      <c r="H850" s="32"/>
      <c r="I850" s="32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31"/>
      <c r="AB850" s="31"/>
    </row>
    <row r="851" spans="1:28" ht="13.2" x14ac:dyDescent="0.25">
      <c r="A851" s="31"/>
      <c r="B851" s="52"/>
      <c r="C851" s="58"/>
      <c r="D851" s="55"/>
      <c r="E851" s="32"/>
      <c r="F851" s="31"/>
      <c r="G851" s="31"/>
      <c r="H851" s="32"/>
      <c r="I851" s="32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31"/>
      <c r="AB851" s="31"/>
    </row>
    <row r="852" spans="1:28" ht="13.2" x14ac:dyDescent="0.25">
      <c r="A852" s="31"/>
      <c r="B852" s="52"/>
      <c r="C852" s="58"/>
      <c r="D852" s="55"/>
      <c r="E852" s="32"/>
      <c r="F852" s="31"/>
      <c r="G852" s="31"/>
      <c r="H852" s="32"/>
      <c r="I852" s="32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31"/>
      <c r="AB852" s="31"/>
    </row>
    <row r="853" spans="1:28" ht="13.2" x14ac:dyDescent="0.25">
      <c r="A853" s="31"/>
      <c r="B853" s="52"/>
      <c r="C853" s="58"/>
      <c r="D853" s="55"/>
      <c r="E853" s="32"/>
      <c r="F853" s="31"/>
      <c r="G853" s="31"/>
      <c r="H853" s="32"/>
      <c r="I853" s="32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31"/>
      <c r="AB853" s="31"/>
    </row>
    <row r="854" spans="1:28" ht="13.2" x14ac:dyDescent="0.25">
      <c r="A854" s="31"/>
      <c r="B854" s="52"/>
      <c r="C854" s="58"/>
      <c r="D854" s="55"/>
      <c r="E854" s="32"/>
      <c r="F854" s="31"/>
      <c r="G854" s="31"/>
      <c r="H854" s="32"/>
      <c r="I854" s="32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31"/>
      <c r="AB854" s="31"/>
    </row>
    <row r="855" spans="1:28" ht="13.2" x14ac:dyDescent="0.25">
      <c r="A855" s="31"/>
      <c r="B855" s="52"/>
      <c r="C855" s="58"/>
      <c r="D855" s="55"/>
      <c r="E855" s="32"/>
      <c r="F855" s="31"/>
      <c r="G855" s="31"/>
      <c r="H855" s="32"/>
      <c r="I855" s="32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31"/>
      <c r="AB855" s="31"/>
    </row>
    <row r="856" spans="1:28" ht="13.2" x14ac:dyDescent="0.25">
      <c r="A856" s="31"/>
      <c r="B856" s="52"/>
      <c r="C856" s="58"/>
      <c r="D856" s="55"/>
      <c r="E856" s="32"/>
      <c r="F856" s="31"/>
      <c r="G856" s="31"/>
      <c r="H856" s="32"/>
      <c r="I856" s="32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31"/>
      <c r="AB856" s="31"/>
    </row>
    <row r="857" spans="1:28" ht="13.2" x14ac:dyDescent="0.25">
      <c r="A857" s="31"/>
      <c r="B857" s="52"/>
      <c r="C857" s="58"/>
      <c r="D857" s="55"/>
      <c r="E857" s="32"/>
      <c r="F857" s="31"/>
      <c r="G857" s="31"/>
      <c r="H857" s="32"/>
      <c r="I857" s="32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31"/>
      <c r="AB857" s="31"/>
    </row>
    <row r="858" spans="1:28" ht="13.2" x14ac:dyDescent="0.25">
      <c r="A858" s="31"/>
      <c r="B858" s="52"/>
      <c r="C858" s="58"/>
      <c r="D858" s="55"/>
      <c r="E858" s="32"/>
      <c r="F858" s="31"/>
      <c r="G858" s="31"/>
      <c r="H858" s="32"/>
      <c r="I858" s="32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31"/>
      <c r="AB858" s="31"/>
    </row>
    <row r="859" spans="1:28" ht="13.2" x14ac:dyDescent="0.25">
      <c r="A859" s="31"/>
      <c r="B859" s="52"/>
      <c r="C859" s="58"/>
      <c r="D859" s="55"/>
      <c r="E859" s="32"/>
      <c r="F859" s="31"/>
      <c r="G859" s="31"/>
      <c r="H859" s="32"/>
      <c r="I859" s="32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31"/>
      <c r="AB859" s="31"/>
    </row>
    <row r="860" spans="1:28" ht="13.2" x14ac:dyDescent="0.25">
      <c r="A860" s="31"/>
      <c r="B860" s="52"/>
      <c r="C860" s="58"/>
      <c r="D860" s="55"/>
      <c r="E860" s="32"/>
      <c r="F860" s="31"/>
      <c r="G860" s="31"/>
      <c r="H860" s="32"/>
      <c r="I860" s="32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31"/>
      <c r="AB860" s="31"/>
    </row>
    <row r="861" spans="1:28" ht="13.2" x14ac:dyDescent="0.25">
      <c r="A861" s="31"/>
      <c r="B861" s="52"/>
      <c r="C861" s="58"/>
      <c r="D861" s="55"/>
      <c r="E861" s="32"/>
      <c r="F861" s="31"/>
      <c r="G861" s="31"/>
      <c r="H861" s="32"/>
      <c r="I861" s="32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31"/>
      <c r="AB861" s="31"/>
    </row>
    <row r="862" spans="1:28" ht="13.2" x14ac:dyDescent="0.25">
      <c r="A862" s="31"/>
      <c r="B862" s="52"/>
      <c r="C862" s="58"/>
      <c r="D862" s="55"/>
      <c r="E862" s="32"/>
      <c r="F862" s="31"/>
      <c r="G862" s="31"/>
      <c r="H862" s="32"/>
      <c r="I862" s="32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31"/>
      <c r="AB862" s="31"/>
    </row>
    <row r="863" spans="1:28" ht="13.2" x14ac:dyDescent="0.25">
      <c r="A863" s="31"/>
      <c r="B863" s="52"/>
      <c r="C863" s="58"/>
      <c r="D863" s="55"/>
      <c r="E863" s="32"/>
      <c r="F863" s="31"/>
      <c r="G863" s="31"/>
      <c r="H863" s="32"/>
      <c r="I863" s="32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31"/>
      <c r="AB863" s="31"/>
    </row>
    <row r="864" spans="1:28" ht="13.2" x14ac:dyDescent="0.25">
      <c r="A864" s="31"/>
      <c r="B864" s="52"/>
      <c r="C864" s="58"/>
      <c r="D864" s="55"/>
      <c r="E864" s="32"/>
      <c r="F864" s="31"/>
      <c r="G864" s="31"/>
      <c r="H864" s="32"/>
      <c r="I864" s="32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31"/>
      <c r="AB864" s="31"/>
    </row>
    <row r="865" spans="1:28" ht="13.2" x14ac:dyDescent="0.25">
      <c r="A865" s="31"/>
      <c r="B865" s="52"/>
      <c r="C865" s="58"/>
      <c r="D865" s="55"/>
      <c r="E865" s="32"/>
      <c r="F865" s="31"/>
      <c r="G865" s="31"/>
      <c r="H865" s="32"/>
      <c r="I865" s="32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31"/>
      <c r="AB865" s="31"/>
    </row>
    <row r="866" spans="1:28" ht="13.2" x14ac:dyDescent="0.25">
      <c r="A866" s="31"/>
      <c r="B866" s="52"/>
      <c r="C866" s="58"/>
      <c r="D866" s="55"/>
      <c r="E866" s="32"/>
      <c r="F866" s="31"/>
      <c r="G866" s="31"/>
      <c r="H866" s="32"/>
      <c r="I866" s="32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31"/>
      <c r="AB866" s="31"/>
    </row>
    <row r="867" spans="1:28" ht="13.2" x14ac:dyDescent="0.25">
      <c r="A867" s="31"/>
      <c r="B867" s="52"/>
      <c r="C867" s="58"/>
      <c r="D867" s="55"/>
      <c r="E867" s="32"/>
      <c r="F867" s="31"/>
      <c r="G867" s="31"/>
      <c r="H867" s="32"/>
      <c r="I867" s="32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31"/>
      <c r="AB867" s="31"/>
    </row>
    <row r="868" spans="1:28" ht="13.2" x14ac:dyDescent="0.25">
      <c r="A868" s="31"/>
      <c r="B868" s="52"/>
      <c r="C868" s="58"/>
      <c r="D868" s="55"/>
      <c r="E868" s="32"/>
      <c r="F868" s="31"/>
      <c r="G868" s="31"/>
      <c r="H868" s="32"/>
      <c r="I868" s="32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31"/>
      <c r="AB868" s="31"/>
    </row>
    <row r="869" spans="1:28" ht="13.2" x14ac:dyDescent="0.25">
      <c r="A869" s="31"/>
      <c r="B869" s="52"/>
      <c r="C869" s="58"/>
      <c r="D869" s="55"/>
      <c r="E869" s="32"/>
      <c r="F869" s="31"/>
      <c r="G869" s="31"/>
      <c r="H869" s="32"/>
      <c r="I869" s="32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31"/>
      <c r="AB869" s="31"/>
    </row>
    <row r="870" spans="1:28" ht="13.2" x14ac:dyDescent="0.25">
      <c r="A870" s="31"/>
      <c r="B870" s="52"/>
      <c r="C870" s="58"/>
      <c r="D870" s="55"/>
      <c r="E870" s="32"/>
      <c r="F870" s="31"/>
      <c r="G870" s="31"/>
      <c r="H870" s="32"/>
      <c r="I870" s="32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31"/>
      <c r="AB870" s="31"/>
    </row>
    <row r="871" spans="1:28" ht="13.2" x14ac:dyDescent="0.25">
      <c r="A871" s="31"/>
      <c r="B871" s="52"/>
      <c r="C871" s="58"/>
      <c r="D871" s="55"/>
      <c r="E871" s="32"/>
      <c r="F871" s="31"/>
      <c r="G871" s="31"/>
      <c r="H871" s="32"/>
      <c r="I871" s="32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31"/>
      <c r="AB871" s="31"/>
    </row>
    <row r="872" spans="1:28" ht="13.2" x14ac:dyDescent="0.25">
      <c r="A872" s="31"/>
      <c r="B872" s="52"/>
      <c r="C872" s="58"/>
      <c r="D872" s="55"/>
      <c r="E872" s="32"/>
      <c r="F872" s="31"/>
      <c r="G872" s="31"/>
      <c r="H872" s="32"/>
      <c r="I872" s="32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31"/>
      <c r="AB872" s="31"/>
    </row>
    <row r="873" spans="1:28" ht="13.2" x14ac:dyDescent="0.25">
      <c r="A873" s="31"/>
      <c r="B873" s="52"/>
      <c r="C873" s="58"/>
      <c r="D873" s="55"/>
      <c r="E873" s="32"/>
      <c r="F873" s="31"/>
      <c r="G873" s="31"/>
      <c r="H873" s="32"/>
      <c r="I873" s="32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31"/>
      <c r="AB873" s="31"/>
    </row>
    <row r="874" spans="1:28" ht="13.2" x14ac:dyDescent="0.25">
      <c r="A874" s="31"/>
      <c r="B874" s="52"/>
      <c r="C874" s="58"/>
      <c r="D874" s="55"/>
      <c r="E874" s="32"/>
      <c r="F874" s="31"/>
      <c r="G874" s="31"/>
      <c r="H874" s="32"/>
      <c r="I874" s="32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31"/>
      <c r="AB874" s="31"/>
    </row>
    <row r="875" spans="1:28" ht="13.2" x14ac:dyDescent="0.25">
      <c r="A875" s="31"/>
      <c r="B875" s="52"/>
      <c r="C875" s="58"/>
      <c r="D875" s="55"/>
      <c r="E875" s="32"/>
      <c r="F875" s="31"/>
      <c r="G875" s="31"/>
      <c r="H875" s="32"/>
      <c r="I875" s="32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31"/>
      <c r="AB875" s="31"/>
    </row>
    <row r="876" spans="1:28" ht="13.2" x14ac:dyDescent="0.25">
      <c r="A876" s="31"/>
      <c r="B876" s="52"/>
      <c r="C876" s="58"/>
      <c r="D876" s="55"/>
      <c r="E876" s="32"/>
      <c r="F876" s="31"/>
      <c r="G876" s="31"/>
      <c r="H876" s="32"/>
      <c r="I876" s="32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31"/>
      <c r="AB876" s="31"/>
    </row>
    <row r="877" spans="1:28" ht="13.2" x14ac:dyDescent="0.25">
      <c r="A877" s="31"/>
      <c r="B877" s="52"/>
      <c r="C877" s="58"/>
      <c r="D877" s="55"/>
      <c r="E877" s="32"/>
      <c r="F877" s="31"/>
      <c r="G877" s="31"/>
      <c r="H877" s="32"/>
      <c r="I877" s="32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31"/>
      <c r="AB877" s="31"/>
    </row>
    <row r="878" spans="1:28" ht="13.2" x14ac:dyDescent="0.25">
      <c r="A878" s="31"/>
      <c r="B878" s="52"/>
      <c r="C878" s="58"/>
      <c r="D878" s="55"/>
      <c r="E878" s="32"/>
      <c r="F878" s="31"/>
      <c r="G878" s="31"/>
      <c r="H878" s="32"/>
      <c r="I878" s="32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31"/>
      <c r="AB878" s="31"/>
    </row>
    <row r="879" spans="1:28" ht="13.2" x14ac:dyDescent="0.25">
      <c r="A879" s="31"/>
      <c r="B879" s="52"/>
      <c r="C879" s="58"/>
      <c r="D879" s="55"/>
      <c r="E879" s="32"/>
      <c r="F879" s="31"/>
      <c r="G879" s="31"/>
      <c r="H879" s="32"/>
      <c r="I879" s="32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31"/>
      <c r="AB879" s="31"/>
    </row>
    <row r="880" spans="1:28" ht="13.2" x14ac:dyDescent="0.25">
      <c r="A880" s="31"/>
      <c r="B880" s="52"/>
      <c r="C880" s="58"/>
      <c r="D880" s="55"/>
      <c r="E880" s="32"/>
      <c r="F880" s="31"/>
      <c r="G880" s="31"/>
      <c r="H880" s="32"/>
      <c r="I880" s="32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31"/>
      <c r="AB880" s="31"/>
    </row>
    <row r="881" spans="1:28" ht="13.2" x14ac:dyDescent="0.25">
      <c r="A881" s="31"/>
      <c r="B881" s="52"/>
      <c r="C881" s="58"/>
      <c r="D881" s="55"/>
      <c r="E881" s="32"/>
      <c r="F881" s="31"/>
      <c r="G881" s="31"/>
      <c r="H881" s="32"/>
      <c r="I881" s="32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31"/>
      <c r="AB881" s="31"/>
    </row>
    <row r="882" spans="1:28" ht="13.2" x14ac:dyDescent="0.25">
      <c r="A882" s="31"/>
      <c r="B882" s="52"/>
      <c r="C882" s="58"/>
      <c r="D882" s="55"/>
      <c r="E882" s="32"/>
      <c r="F882" s="31"/>
      <c r="G882" s="31"/>
      <c r="H882" s="32"/>
      <c r="I882" s="32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31"/>
      <c r="AB882" s="31"/>
    </row>
    <row r="883" spans="1:28" ht="13.2" x14ac:dyDescent="0.25">
      <c r="A883" s="31"/>
      <c r="B883" s="52"/>
      <c r="C883" s="58"/>
      <c r="D883" s="55"/>
      <c r="E883" s="32"/>
      <c r="F883" s="31"/>
      <c r="G883" s="31"/>
      <c r="H883" s="32"/>
      <c r="I883" s="32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31"/>
      <c r="AB883" s="31"/>
    </row>
    <row r="884" spans="1:28" ht="13.2" x14ac:dyDescent="0.25">
      <c r="A884" s="31"/>
      <c r="B884" s="52"/>
      <c r="C884" s="58"/>
      <c r="D884" s="55"/>
      <c r="E884" s="32"/>
      <c r="F884" s="31"/>
      <c r="G884" s="31"/>
      <c r="H884" s="32"/>
      <c r="I884" s="32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31"/>
      <c r="AB884" s="31"/>
    </row>
    <row r="885" spans="1:28" ht="13.2" x14ac:dyDescent="0.25">
      <c r="A885" s="31"/>
      <c r="B885" s="52"/>
      <c r="C885" s="58"/>
      <c r="D885" s="55"/>
      <c r="E885" s="32"/>
      <c r="F885" s="31"/>
      <c r="G885" s="31"/>
      <c r="H885" s="32"/>
      <c r="I885" s="32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31"/>
      <c r="AB885" s="31"/>
    </row>
    <row r="886" spans="1:28" ht="13.2" x14ac:dyDescent="0.25">
      <c r="A886" s="31"/>
      <c r="B886" s="52"/>
      <c r="C886" s="58"/>
      <c r="D886" s="55"/>
      <c r="E886" s="32"/>
      <c r="F886" s="31"/>
      <c r="G886" s="31"/>
      <c r="H886" s="32"/>
      <c r="I886" s="32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31"/>
      <c r="AB886" s="31"/>
    </row>
    <row r="887" spans="1:28" ht="13.2" x14ac:dyDescent="0.25">
      <c r="A887" s="31"/>
      <c r="B887" s="52"/>
      <c r="C887" s="58"/>
      <c r="D887" s="55"/>
      <c r="E887" s="32"/>
      <c r="F887" s="31"/>
      <c r="G887" s="31"/>
      <c r="H887" s="32"/>
      <c r="I887" s="32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31"/>
      <c r="AB887" s="31"/>
    </row>
    <row r="888" spans="1:28" ht="13.2" x14ac:dyDescent="0.25">
      <c r="A888" s="31"/>
      <c r="B888" s="52"/>
      <c r="C888" s="58"/>
      <c r="D888" s="55"/>
      <c r="E888" s="32"/>
      <c r="F888" s="31"/>
      <c r="G888" s="31"/>
      <c r="H888" s="32"/>
      <c r="I888" s="32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31"/>
      <c r="AB888" s="31"/>
    </row>
    <row r="889" spans="1:28" ht="13.2" x14ac:dyDescent="0.25">
      <c r="A889" s="31"/>
      <c r="B889" s="52"/>
      <c r="C889" s="58"/>
      <c r="D889" s="55"/>
      <c r="E889" s="32"/>
      <c r="F889" s="31"/>
      <c r="G889" s="31"/>
      <c r="H889" s="32"/>
      <c r="I889" s="32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31"/>
      <c r="AB889" s="31"/>
    </row>
    <row r="890" spans="1:28" ht="13.2" x14ac:dyDescent="0.25">
      <c r="A890" s="31"/>
      <c r="B890" s="52"/>
      <c r="C890" s="58"/>
      <c r="D890" s="55"/>
      <c r="E890" s="32"/>
      <c r="F890" s="31"/>
      <c r="G890" s="31"/>
      <c r="H890" s="32"/>
      <c r="I890" s="32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31"/>
      <c r="AB890" s="31"/>
    </row>
    <row r="891" spans="1:28" ht="13.2" x14ac:dyDescent="0.25">
      <c r="A891" s="31"/>
      <c r="B891" s="52"/>
      <c r="C891" s="58"/>
      <c r="D891" s="55"/>
      <c r="E891" s="32"/>
      <c r="F891" s="31"/>
      <c r="G891" s="31"/>
      <c r="H891" s="32"/>
      <c r="I891" s="32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31"/>
      <c r="AB891" s="31"/>
    </row>
    <row r="892" spans="1:28" ht="13.2" x14ac:dyDescent="0.25">
      <c r="A892" s="31"/>
      <c r="B892" s="52"/>
      <c r="C892" s="58"/>
      <c r="D892" s="55"/>
      <c r="E892" s="32"/>
      <c r="F892" s="31"/>
      <c r="G892" s="31"/>
      <c r="H892" s="32"/>
      <c r="I892" s="32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31"/>
      <c r="AB892" s="31"/>
    </row>
  </sheetData>
  <conditionalFormatting sqref="A1">
    <cfRule type="cellIs" dxfId="22" priority="3" operator="equal">
      <formula>"Fri"</formula>
    </cfRule>
  </conditionalFormatting>
  <conditionalFormatting sqref="A5:A100">
    <cfRule type="cellIs" dxfId="21" priority="4" operator="equal">
      <formula>0</formula>
    </cfRule>
    <cfRule type="expression" dxfId="20" priority="5">
      <formula>$F5=0</formula>
    </cfRule>
    <cfRule type="colorScale" priority="6">
      <colorScale>
        <cfvo type="formula" val="1"/>
        <cfvo type="formula" val="2"/>
        <cfvo type="formula" val="4"/>
        <color rgb="FFE67C73"/>
        <color rgb="FFFFD666"/>
        <color rgb="FF57BB8A"/>
      </colorScale>
    </cfRule>
  </conditionalFormatting>
  <conditionalFormatting sqref="A5:AB150">
    <cfRule type="expression" dxfId="19" priority="16">
      <formula>MOD(ROW(),2)=0</formula>
    </cfRule>
  </conditionalFormatting>
  <conditionalFormatting sqref="B5:B100">
    <cfRule type="beginsWith" dxfId="18" priority="12" operator="beginsWith" text="--">
      <formula>LEFT((B5),LEN("--"))=("--")</formula>
    </cfRule>
    <cfRule type="beginsWith" dxfId="17" priority="13" operator="beginsWith" text="—">
      <formula>LEFT((B5),LEN("—"))=("—")</formula>
    </cfRule>
  </conditionalFormatting>
  <conditionalFormatting sqref="C5:C100 E5:F100">
    <cfRule type="expression" dxfId="16" priority="18">
      <formula>$F5=0</formula>
    </cfRule>
  </conditionalFormatting>
  <conditionalFormatting sqref="C5:C100">
    <cfRule type="expression" dxfId="15" priority="17">
      <formula>AND($B5&lt;&gt;"", $C5="",$A5&gt;0)</formula>
    </cfRule>
  </conditionalFormatting>
  <conditionalFormatting sqref="D5:D100">
    <cfRule type="expression" dxfId="14" priority="14">
      <formula>$D5&lt;$E5</formula>
    </cfRule>
    <cfRule type="expression" dxfId="13" priority="15">
      <formula>$D5&gt;$E5</formula>
    </cfRule>
  </conditionalFormatting>
  <conditionalFormatting sqref="H4:H101 I4:K100 L4:Z101 AA4:AB4 AA101:AB101 H111:AB111">
    <cfRule type="colorScale" priority="9">
      <colorScale>
        <cfvo type="formula" val="0"/>
        <cfvo type="percent" val="50"/>
        <cfvo type="max"/>
        <color rgb="FFB6D7A8"/>
        <color rgb="FFFFE599"/>
        <color rgb="FFEA9999"/>
      </colorScale>
    </cfRule>
  </conditionalFormatting>
  <conditionalFormatting sqref="H2:Z2 AB3">
    <cfRule type="cellIs" dxfId="12" priority="8" operator="equal">
      <formula>"Mon"</formula>
    </cfRule>
  </conditionalFormatting>
  <conditionalFormatting sqref="H112:Z112">
    <cfRule type="colorScale" priority="1">
      <colorScale>
        <cfvo type="min"/>
        <cfvo type="max"/>
        <color rgb="FFFFFFFF"/>
        <color rgb="FF57BB8A"/>
      </colorScale>
    </cfRule>
  </conditionalFormatting>
  <conditionalFormatting sqref="H113:Z113">
    <cfRule type="colorScale" priority="2">
      <colorScale>
        <cfvo type="min"/>
        <cfvo type="max"/>
        <color rgb="FFFFFFFF"/>
        <color rgb="FF57BB8A"/>
      </colorScale>
    </cfRule>
  </conditionalFormatting>
  <conditionalFormatting sqref="H142:Z142 I3:Z3">
    <cfRule type="expression" dxfId="11" priority="19">
      <formula>I3=H3</formula>
    </cfRule>
  </conditionalFormatting>
  <conditionalFormatting sqref="I2:Z2">
    <cfRule type="expression" dxfId="10" priority="7">
      <formula>I3=H3</formula>
    </cfRule>
  </conditionalFormatting>
  <conditionalFormatting sqref="I3:Z3 H142:Z142">
    <cfRule type="expression" dxfId="9" priority="20">
      <formula>I3&gt;$A$2</formula>
    </cfRule>
    <cfRule type="expression" dxfId="8" priority="21">
      <formula>I3=$A$2</formula>
    </cfRule>
  </conditionalFormatting>
  <conditionalFormatting sqref="I5:Z100">
    <cfRule type="expression" dxfId="7" priority="11">
      <formula>I$3 = $A$2</formula>
    </cfRule>
  </conditionalFormatting>
  <conditionalFormatting sqref="AA4:AB4 J4:K100 L4:Z101 I5:I100 AA101:AB101 J111:AB111">
    <cfRule type="expression" dxfId="6" priority="10">
      <formula>J4&lt;&gt;I4</formula>
    </cfRule>
  </conditionalFormatting>
  <dataValidations count="2">
    <dataValidation type="decimal" allowBlank="1" showInputMessage="1" prompt="1-5 or 0" sqref="A5:A100" xr:uid="{00000000-0002-0000-0000-000000000000}">
      <formula1>0</formula1>
      <formula2>5</formula2>
    </dataValidation>
    <dataValidation type="list" allowBlank="1" sqref="C5:C100" xr:uid="{00000000-0002-0000-0000-000001000000}">
      <formula1>$C$102:$C$110</formula1>
    </dataValidation>
  </dataValidations>
  <hyperlinks>
    <hyperlink ref="AB1" r:id="rId1" xr:uid="{00000000-0004-0000-0000-000000000000}"/>
    <hyperlink ref="B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1"/>
  <sheetViews>
    <sheetView tabSelected="1" workbookViewId="0">
      <selection activeCell="E15" sqref="E15"/>
    </sheetView>
  </sheetViews>
  <sheetFormatPr defaultColWidth="12.6640625" defaultRowHeight="15.75" customHeight="1" x14ac:dyDescent="0.25"/>
  <cols>
    <col min="1" max="2" width="5.109375" customWidth="1"/>
    <col min="3" max="8" width="25.6640625" customWidth="1"/>
    <col min="9" max="9" width="2.77734375" customWidth="1"/>
    <col min="10" max="10" width="8.21875" customWidth="1"/>
    <col min="11" max="11" width="3.77734375" customWidth="1"/>
  </cols>
  <sheetData>
    <row r="1" spans="1:27" ht="13.2" x14ac:dyDescent="0.25">
      <c r="A1" s="63">
        <f>Main!A2</f>
        <v>44908</v>
      </c>
      <c r="B1" s="64"/>
      <c r="C1" s="69" t="s">
        <v>62</v>
      </c>
      <c r="D1" s="70"/>
      <c r="E1" s="70"/>
      <c r="F1" s="70"/>
      <c r="G1" s="65"/>
      <c r="H1" s="65"/>
      <c r="I1" s="31"/>
      <c r="J1" s="66" t="s">
        <v>63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26.4" x14ac:dyDescent="0.25">
      <c r="A2" s="31" t="s">
        <v>64</v>
      </c>
      <c r="B2" s="31"/>
      <c r="C2" s="66" t="str">
        <f>Main!B102</f>
        <v>Adam</v>
      </c>
      <c r="D2" s="66" t="str">
        <f>Main!B103</f>
        <v>Padraic</v>
      </c>
      <c r="E2" s="66" t="str">
        <f>Main!B104</f>
        <v>Chris</v>
      </c>
      <c r="F2" s="66">
        <f>Main!B105</f>
        <v>0</v>
      </c>
      <c r="G2" s="66">
        <f>Main!B106</f>
        <v>0</v>
      </c>
      <c r="H2" s="66">
        <f>Main!B129</f>
        <v>0</v>
      </c>
      <c r="I2" s="31"/>
      <c r="J2" s="66" t="s">
        <v>65</v>
      </c>
      <c r="K2" s="67" t="s">
        <v>66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7.25" customHeight="1" x14ac:dyDescent="0.25">
      <c r="A3" s="11">
        <f>Main!I3</f>
        <v>44568</v>
      </c>
      <c r="B3" s="11" t="str">
        <f t="shared" ref="B3:B24" si="0">CHOOSE(WEEKDAY(A3),"Sun","Mon","Tue","Wed","Thu","Fri","Sat")</f>
        <v>Fri</v>
      </c>
      <c r="C3" s="68" t="s">
        <v>67</v>
      </c>
      <c r="D3" s="68" t="s">
        <v>68</v>
      </c>
      <c r="E3" s="68" t="s">
        <v>69</v>
      </c>
      <c r="F3" s="68" t="s">
        <v>70</v>
      </c>
      <c r="G3" s="68"/>
      <c r="H3" s="68"/>
      <c r="I3" s="31"/>
      <c r="J3" s="68" t="s">
        <v>71</v>
      </c>
      <c r="K3" s="67">
        <f>VLOOKUP($B3,Main!$I$102:$J$108,2,FALSE)</f>
        <v>1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7.25" customHeight="1" x14ac:dyDescent="0.25">
      <c r="A4" s="11">
        <f t="shared" ref="A4:A24" si="1">A3+1</f>
        <v>44569</v>
      </c>
      <c r="B4" s="11" t="str">
        <f t="shared" si="0"/>
        <v>Sat</v>
      </c>
      <c r="C4" s="68" t="s">
        <v>72</v>
      </c>
      <c r="D4" s="68" t="s">
        <v>73</v>
      </c>
      <c r="E4" s="68" t="s">
        <v>74</v>
      </c>
      <c r="F4" s="68" t="s">
        <v>75</v>
      </c>
      <c r="G4" s="68"/>
      <c r="H4" s="68"/>
      <c r="I4" s="31"/>
      <c r="J4" s="31"/>
      <c r="K4" s="67">
        <f>VLOOKUP($B4,Main!$I$102:$J$108,2,FALSE)</f>
        <v>0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7.25" customHeight="1" x14ac:dyDescent="0.25">
      <c r="A5" s="11">
        <f t="shared" si="1"/>
        <v>44570</v>
      </c>
      <c r="B5" s="11" t="str">
        <f t="shared" si="0"/>
        <v>Sun</v>
      </c>
      <c r="C5" s="68" t="s">
        <v>76</v>
      </c>
      <c r="D5" s="68" t="s">
        <v>77</v>
      </c>
      <c r="E5" s="68" t="s">
        <v>78</v>
      </c>
      <c r="F5" s="68"/>
      <c r="G5" s="68"/>
      <c r="H5" s="68"/>
      <c r="I5" s="31"/>
      <c r="J5" s="31"/>
      <c r="K5" s="67">
        <f>VLOOKUP($B5,Main!$I$102:$J$108,2,FALSE)</f>
        <v>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7.25" customHeight="1" x14ac:dyDescent="0.25">
      <c r="A6" s="11">
        <f t="shared" si="1"/>
        <v>44571</v>
      </c>
      <c r="B6" s="11" t="str">
        <f t="shared" si="0"/>
        <v>Mon</v>
      </c>
      <c r="C6" s="68"/>
      <c r="D6" s="68"/>
      <c r="E6" s="68"/>
      <c r="F6" s="68"/>
      <c r="G6" s="68"/>
      <c r="H6" s="68"/>
      <c r="I6" s="31"/>
      <c r="J6" s="31"/>
      <c r="K6" s="67">
        <f>VLOOKUP($B6,Main!$I$102:$J$108,2,FALSE)</f>
        <v>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7.25" customHeight="1" x14ac:dyDescent="0.25">
      <c r="A7" s="11">
        <f t="shared" si="1"/>
        <v>44572</v>
      </c>
      <c r="B7" s="11" t="str">
        <f t="shared" si="0"/>
        <v>Tue</v>
      </c>
      <c r="C7" s="68"/>
      <c r="D7" s="68"/>
      <c r="E7" s="68"/>
      <c r="F7" s="68"/>
      <c r="G7" s="68"/>
      <c r="H7" s="68"/>
      <c r="I7" s="31"/>
      <c r="J7" s="31"/>
      <c r="K7" s="67">
        <f>VLOOKUP($B7,Main!$I$102:$J$108,2,FALSE)</f>
        <v>1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7.25" customHeight="1" x14ac:dyDescent="0.25">
      <c r="A8" s="11">
        <f t="shared" si="1"/>
        <v>44573</v>
      </c>
      <c r="B8" s="11" t="str">
        <f t="shared" si="0"/>
        <v>Wed</v>
      </c>
      <c r="C8" s="68" t="s">
        <v>79</v>
      </c>
      <c r="D8" s="68" t="s">
        <v>80</v>
      </c>
      <c r="E8" s="68" t="s">
        <v>81</v>
      </c>
      <c r="F8" s="68"/>
      <c r="G8" s="68"/>
      <c r="H8" s="68"/>
      <c r="I8" s="31"/>
      <c r="J8" s="31"/>
      <c r="K8" s="67">
        <f>VLOOKUP($B8,Main!$I$102:$J$108,2,FALSE)</f>
        <v>1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7.25" customHeight="1" x14ac:dyDescent="0.25">
      <c r="A9" s="11">
        <f t="shared" si="1"/>
        <v>44574</v>
      </c>
      <c r="B9" s="11" t="str">
        <f t="shared" si="0"/>
        <v>Thu</v>
      </c>
      <c r="C9" s="68" t="s">
        <v>82</v>
      </c>
      <c r="D9" s="68"/>
      <c r="E9" s="68" t="s">
        <v>83</v>
      </c>
      <c r="F9" s="68" t="s">
        <v>84</v>
      </c>
      <c r="G9" s="68"/>
      <c r="H9" s="68"/>
      <c r="I9" s="31"/>
      <c r="J9" s="31"/>
      <c r="K9" s="67">
        <f>VLOOKUP($B9,Main!$I$102:$J$108,2,FALSE)</f>
        <v>1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7.25" customHeight="1" x14ac:dyDescent="0.25">
      <c r="A10" s="11">
        <f t="shared" si="1"/>
        <v>44575</v>
      </c>
      <c r="B10" s="11" t="str">
        <f t="shared" si="0"/>
        <v>Fri</v>
      </c>
      <c r="C10" s="68"/>
      <c r="D10" s="68"/>
      <c r="E10" s="68"/>
      <c r="F10" s="68"/>
      <c r="G10" s="68"/>
      <c r="H10" s="68"/>
      <c r="I10" s="31"/>
      <c r="J10" s="31"/>
      <c r="K10" s="67">
        <f>VLOOKUP($B10,Main!$I$102:$J$108,2,FALSE)</f>
        <v>1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7.25" customHeight="1" x14ac:dyDescent="0.25">
      <c r="A11" s="11">
        <f t="shared" si="1"/>
        <v>44576</v>
      </c>
      <c r="B11" s="11" t="str">
        <f t="shared" si="0"/>
        <v>Sat</v>
      </c>
      <c r="C11" s="68"/>
      <c r="D11" s="68"/>
      <c r="E11" s="68"/>
      <c r="F11" s="68"/>
      <c r="G11" s="68"/>
      <c r="H11" s="68"/>
      <c r="I11" s="31"/>
      <c r="J11" s="31"/>
      <c r="K11" s="67">
        <f>VLOOKUP($B11,Main!$I$102:$J$108,2,FALSE)</f>
        <v>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7.25" customHeight="1" x14ac:dyDescent="0.25">
      <c r="A12" s="11">
        <f t="shared" si="1"/>
        <v>44577</v>
      </c>
      <c r="B12" s="11" t="str">
        <f t="shared" si="0"/>
        <v>Sun</v>
      </c>
      <c r="C12" s="68"/>
      <c r="D12" s="68"/>
      <c r="E12" s="68"/>
      <c r="F12" s="68"/>
      <c r="G12" s="68"/>
      <c r="H12" s="68"/>
      <c r="I12" s="31"/>
      <c r="J12" s="31"/>
      <c r="K12" s="67">
        <f>VLOOKUP($B12,Main!$I$102:$J$108,2,FALSE)</f>
        <v>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7.25" customHeight="1" x14ac:dyDescent="0.25">
      <c r="A13" s="11">
        <f t="shared" si="1"/>
        <v>44578</v>
      </c>
      <c r="B13" s="11" t="str">
        <f t="shared" si="0"/>
        <v>Mon</v>
      </c>
      <c r="C13" s="68"/>
      <c r="D13" s="68"/>
      <c r="E13" s="68"/>
      <c r="F13" s="68"/>
      <c r="G13" s="68"/>
      <c r="H13" s="68"/>
      <c r="I13" s="31"/>
      <c r="J13" s="31"/>
      <c r="K13" s="67">
        <f>VLOOKUP($B13,Main!$I$102:$J$108,2,FALSE)</f>
        <v>1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7.25" customHeight="1" x14ac:dyDescent="0.25">
      <c r="A14" s="11">
        <f t="shared" si="1"/>
        <v>44579</v>
      </c>
      <c r="B14" s="11" t="str">
        <f t="shared" si="0"/>
        <v>Tue</v>
      </c>
      <c r="C14" s="68"/>
      <c r="D14" s="68"/>
      <c r="E14" s="68"/>
      <c r="F14" s="68"/>
      <c r="G14" s="68"/>
      <c r="H14" s="68"/>
      <c r="I14" s="31"/>
      <c r="J14" s="31"/>
      <c r="K14" s="67">
        <f>VLOOKUP($B14,Main!$I$102:$J$108,2,FALSE)</f>
        <v>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7.25" customHeight="1" x14ac:dyDescent="0.25">
      <c r="A15" s="11">
        <f t="shared" si="1"/>
        <v>44580</v>
      </c>
      <c r="B15" s="11" t="str">
        <f t="shared" si="0"/>
        <v>Wed</v>
      </c>
      <c r="C15" s="68"/>
      <c r="D15" s="68"/>
      <c r="E15" s="68"/>
      <c r="F15" s="68"/>
      <c r="G15" s="68"/>
      <c r="H15" s="68"/>
      <c r="I15" s="31"/>
      <c r="J15" s="31"/>
      <c r="K15" s="67">
        <f>VLOOKUP($B15,Main!$I$102:$J$108,2,FALSE)</f>
        <v>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7.25" customHeight="1" x14ac:dyDescent="0.25">
      <c r="A16" s="11">
        <f t="shared" si="1"/>
        <v>44581</v>
      </c>
      <c r="B16" s="11" t="str">
        <f t="shared" si="0"/>
        <v>Thu</v>
      </c>
      <c r="C16" s="68"/>
      <c r="D16" s="68"/>
      <c r="E16" s="68"/>
      <c r="F16" s="68"/>
      <c r="G16" s="68"/>
      <c r="H16" s="68"/>
      <c r="I16" s="31"/>
      <c r="J16" s="31"/>
      <c r="K16" s="67">
        <f>VLOOKUP($B16,Main!$I$102:$J$108,2,FALSE)</f>
        <v>1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7.25" customHeight="1" x14ac:dyDescent="0.25">
      <c r="A17" s="11">
        <f t="shared" si="1"/>
        <v>44582</v>
      </c>
      <c r="B17" s="11" t="str">
        <f t="shared" si="0"/>
        <v>Fri</v>
      </c>
      <c r="C17" s="68"/>
      <c r="D17" s="68"/>
      <c r="E17" s="68"/>
      <c r="F17" s="68"/>
      <c r="G17" s="68"/>
      <c r="H17" s="68"/>
      <c r="I17" s="31"/>
      <c r="J17" s="31"/>
      <c r="K17" s="67">
        <f>VLOOKUP($B17,Main!$I$102:$J$108,2,FALSE)</f>
        <v>1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7.25" customHeight="1" x14ac:dyDescent="0.25">
      <c r="A18" s="11">
        <f t="shared" si="1"/>
        <v>44583</v>
      </c>
      <c r="B18" s="11" t="str">
        <f t="shared" si="0"/>
        <v>Sat</v>
      </c>
      <c r="C18" s="68"/>
      <c r="D18" s="68"/>
      <c r="E18" s="68"/>
      <c r="F18" s="68"/>
      <c r="G18" s="68"/>
      <c r="H18" s="68"/>
      <c r="I18" s="31"/>
      <c r="J18" s="31"/>
      <c r="K18" s="67">
        <f>VLOOKUP($B18,Main!$I$102:$J$108,2,FALSE)</f>
        <v>0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7.25" customHeight="1" x14ac:dyDescent="0.25">
      <c r="A19" s="11">
        <f t="shared" si="1"/>
        <v>44584</v>
      </c>
      <c r="B19" s="11" t="str">
        <f t="shared" si="0"/>
        <v>Sun</v>
      </c>
      <c r="C19" s="68"/>
      <c r="D19" s="68"/>
      <c r="E19" s="68"/>
      <c r="F19" s="68"/>
      <c r="G19" s="68"/>
      <c r="H19" s="68"/>
      <c r="I19" s="31"/>
      <c r="J19" s="31"/>
      <c r="K19" s="67">
        <f>VLOOKUP($B19,Main!$I$102:$J$108,2,FALSE)</f>
        <v>0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7.25" customHeight="1" x14ac:dyDescent="0.25">
      <c r="A20" s="11">
        <f t="shared" si="1"/>
        <v>44585</v>
      </c>
      <c r="B20" s="11" t="str">
        <f t="shared" si="0"/>
        <v>Mon</v>
      </c>
      <c r="C20" s="68"/>
      <c r="D20" s="68"/>
      <c r="E20" s="68"/>
      <c r="F20" s="68"/>
      <c r="G20" s="68"/>
      <c r="H20" s="68"/>
      <c r="I20" s="31"/>
      <c r="J20" s="31"/>
      <c r="K20" s="67">
        <f>VLOOKUP($B20,Main!$I$102:$J$108,2,FALSE)</f>
        <v>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7.25" customHeight="1" x14ac:dyDescent="0.25">
      <c r="A21" s="11">
        <f t="shared" si="1"/>
        <v>44586</v>
      </c>
      <c r="B21" s="11" t="str">
        <f t="shared" si="0"/>
        <v>Tue</v>
      </c>
      <c r="C21" s="68"/>
      <c r="D21" s="68"/>
      <c r="E21" s="68"/>
      <c r="F21" s="68"/>
      <c r="G21" s="68"/>
      <c r="H21" s="68"/>
      <c r="I21" s="31"/>
      <c r="J21" s="31"/>
      <c r="K21" s="67">
        <f>VLOOKUP($B21,Main!$I$102:$J$108,2,FALSE)</f>
        <v>1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7.25" customHeight="1" x14ac:dyDescent="0.25">
      <c r="A22" s="11">
        <f t="shared" si="1"/>
        <v>44587</v>
      </c>
      <c r="B22" s="11" t="str">
        <f t="shared" si="0"/>
        <v>Wed</v>
      </c>
      <c r="C22" s="68"/>
      <c r="D22" s="68"/>
      <c r="E22" s="68"/>
      <c r="F22" s="68"/>
      <c r="G22" s="68"/>
      <c r="H22" s="68"/>
      <c r="I22" s="31"/>
      <c r="J22" s="31"/>
      <c r="K22" s="67">
        <f>VLOOKUP($B22,Main!$I$102:$J$108,2,FALSE)</f>
        <v>1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7.25" customHeight="1" x14ac:dyDescent="0.25">
      <c r="A23" s="11">
        <f t="shared" si="1"/>
        <v>44588</v>
      </c>
      <c r="B23" s="11" t="str">
        <f t="shared" si="0"/>
        <v>Thu</v>
      </c>
      <c r="C23" s="68"/>
      <c r="D23" s="68"/>
      <c r="E23" s="68"/>
      <c r="F23" s="68"/>
      <c r="G23" s="68"/>
      <c r="H23" s="68"/>
      <c r="I23" s="31"/>
      <c r="J23" s="31"/>
      <c r="K23" s="67">
        <f>VLOOKUP($B23,Main!$I$102:$J$108,2,FALSE)</f>
        <v>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7.25" customHeight="1" x14ac:dyDescent="0.25">
      <c r="A24" s="11">
        <f t="shared" si="1"/>
        <v>44589</v>
      </c>
      <c r="B24" s="11" t="str">
        <f t="shared" si="0"/>
        <v>Fri</v>
      </c>
      <c r="C24" s="68"/>
      <c r="D24" s="68"/>
      <c r="E24" s="68"/>
      <c r="F24" s="68"/>
      <c r="G24" s="68"/>
      <c r="H24" s="68"/>
      <c r="I24" s="31"/>
      <c r="J24" s="31"/>
      <c r="K24" s="67">
        <f>VLOOKUP($B24,Main!$I$102:$J$108,2,FALSE)</f>
        <v>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3.2" x14ac:dyDescent="0.25">
      <c r="A25" s="31"/>
      <c r="B25" s="31"/>
      <c r="C25" s="61"/>
      <c r="D25" s="61"/>
      <c r="E25" s="61"/>
      <c r="F25" s="61"/>
      <c r="G25" s="61"/>
      <c r="H25" s="6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3.2" x14ac:dyDescent="0.25">
      <c r="A26" s="31"/>
      <c r="B26" s="31"/>
      <c r="C26" s="61"/>
      <c r="D26" s="61"/>
      <c r="E26" s="61"/>
      <c r="F26" s="61"/>
      <c r="G26" s="61"/>
      <c r="H26" s="6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3.2" x14ac:dyDescent="0.25">
      <c r="A27" s="31"/>
      <c r="B27" s="31"/>
      <c r="C27" s="61"/>
      <c r="D27" s="61"/>
      <c r="E27" s="61"/>
      <c r="F27" s="61"/>
      <c r="G27" s="61"/>
      <c r="H27" s="6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3.2" x14ac:dyDescent="0.25">
      <c r="A28" s="31"/>
      <c r="B28" s="31"/>
      <c r="C28" s="61"/>
      <c r="D28" s="61"/>
      <c r="E28" s="61"/>
      <c r="F28" s="61"/>
      <c r="G28" s="61"/>
      <c r="H28" s="6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3.2" x14ac:dyDescent="0.25">
      <c r="A29" s="31"/>
      <c r="B29" s="31"/>
      <c r="C29" s="61"/>
      <c r="D29" s="61"/>
      <c r="E29" s="61"/>
      <c r="F29" s="61"/>
      <c r="G29" s="61"/>
      <c r="H29" s="6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3.2" x14ac:dyDescent="0.25">
      <c r="A30" s="31"/>
      <c r="B30" s="31"/>
      <c r="C30" s="61"/>
      <c r="D30" s="61"/>
      <c r="E30" s="61"/>
      <c r="F30" s="61"/>
      <c r="G30" s="61"/>
      <c r="H30" s="6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3.2" x14ac:dyDescent="0.25">
      <c r="A31" s="31"/>
      <c r="B31" s="31"/>
      <c r="C31" s="61"/>
      <c r="D31" s="61"/>
      <c r="E31" s="61"/>
      <c r="F31" s="61"/>
      <c r="G31" s="61"/>
      <c r="H31" s="6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3.2" x14ac:dyDescent="0.25">
      <c r="A32" s="31"/>
      <c r="B32" s="31"/>
      <c r="C32" s="61"/>
      <c r="D32" s="61"/>
      <c r="E32" s="61"/>
      <c r="F32" s="61"/>
      <c r="G32" s="61"/>
      <c r="H32" s="6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3.2" x14ac:dyDescent="0.25">
      <c r="A33" s="31"/>
      <c r="B33" s="31"/>
      <c r="C33" s="61"/>
      <c r="D33" s="61"/>
      <c r="E33" s="61"/>
      <c r="F33" s="61"/>
      <c r="G33" s="61"/>
      <c r="H33" s="6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3.2" x14ac:dyDescent="0.25">
      <c r="A34" s="31"/>
      <c r="B34" s="31"/>
      <c r="C34" s="61"/>
      <c r="D34" s="61"/>
      <c r="E34" s="61"/>
      <c r="F34" s="61"/>
      <c r="G34" s="61"/>
      <c r="H34" s="6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3.2" x14ac:dyDescent="0.25">
      <c r="A35" s="31"/>
      <c r="B35" s="31"/>
      <c r="C35" s="61"/>
      <c r="D35" s="61"/>
      <c r="E35" s="61"/>
      <c r="F35" s="61"/>
      <c r="G35" s="61"/>
      <c r="H35" s="6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3.2" x14ac:dyDescent="0.25">
      <c r="A36" s="31"/>
      <c r="B36" s="31"/>
      <c r="C36" s="61"/>
      <c r="D36" s="61"/>
      <c r="E36" s="61"/>
      <c r="F36" s="61"/>
      <c r="G36" s="61"/>
      <c r="H36" s="6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3.2" x14ac:dyDescent="0.25">
      <c r="A37" s="31"/>
      <c r="B37" s="31"/>
      <c r="C37" s="61"/>
      <c r="D37" s="61"/>
      <c r="E37" s="61"/>
      <c r="F37" s="61"/>
      <c r="G37" s="61"/>
      <c r="H37" s="6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3.2" x14ac:dyDescent="0.25">
      <c r="A38" s="31"/>
      <c r="B38" s="31"/>
      <c r="C38" s="61"/>
      <c r="D38" s="61"/>
      <c r="E38" s="61"/>
      <c r="F38" s="61"/>
      <c r="G38" s="61"/>
      <c r="H38" s="6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3.2" x14ac:dyDescent="0.25">
      <c r="A39" s="31"/>
      <c r="B39" s="31"/>
      <c r="C39" s="61"/>
      <c r="D39" s="61"/>
      <c r="E39" s="61"/>
      <c r="F39" s="61"/>
      <c r="G39" s="61"/>
      <c r="H39" s="6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3.2" x14ac:dyDescent="0.25">
      <c r="A40" s="31"/>
      <c r="B40" s="31"/>
      <c r="C40" s="61"/>
      <c r="D40" s="61"/>
      <c r="E40" s="61"/>
      <c r="F40" s="61"/>
      <c r="G40" s="61"/>
      <c r="H40" s="6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3.2" x14ac:dyDescent="0.25">
      <c r="A41" s="31"/>
      <c r="B41" s="31"/>
      <c r="C41" s="61"/>
      <c r="D41" s="61"/>
      <c r="E41" s="61"/>
      <c r="F41" s="61"/>
      <c r="G41" s="61"/>
      <c r="H41" s="6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3.2" x14ac:dyDescent="0.25">
      <c r="A42" s="31"/>
      <c r="B42" s="31"/>
      <c r="C42" s="61"/>
      <c r="D42" s="61"/>
      <c r="E42" s="61"/>
      <c r="F42" s="61"/>
      <c r="G42" s="61"/>
      <c r="H42" s="6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3.2" x14ac:dyDescent="0.25">
      <c r="A43" s="31"/>
      <c r="B43" s="31"/>
      <c r="C43" s="61"/>
      <c r="D43" s="61"/>
      <c r="E43" s="61"/>
      <c r="F43" s="61"/>
      <c r="G43" s="61"/>
      <c r="H43" s="6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3.2" x14ac:dyDescent="0.25">
      <c r="A44" s="31"/>
      <c r="B44" s="31"/>
      <c r="C44" s="61"/>
      <c r="D44" s="61"/>
      <c r="E44" s="61"/>
      <c r="F44" s="61"/>
      <c r="G44" s="61"/>
      <c r="H44" s="6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3.2" x14ac:dyDescent="0.25">
      <c r="A45" s="31"/>
      <c r="B45" s="31"/>
      <c r="C45" s="61"/>
      <c r="D45" s="61"/>
      <c r="E45" s="61"/>
      <c r="F45" s="61"/>
      <c r="G45" s="61"/>
      <c r="H45" s="6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3.2" x14ac:dyDescent="0.25">
      <c r="A46" s="31"/>
      <c r="B46" s="31"/>
      <c r="C46" s="61"/>
      <c r="D46" s="61"/>
      <c r="E46" s="61"/>
      <c r="F46" s="61"/>
      <c r="G46" s="61"/>
      <c r="H46" s="6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3.2" x14ac:dyDescent="0.25">
      <c r="A47" s="31"/>
      <c r="B47" s="31"/>
      <c r="C47" s="61"/>
      <c r="D47" s="61"/>
      <c r="E47" s="61"/>
      <c r="F47" s="61"/>
      <c r="G47" s="61"/>
      <c r="H47" s="6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3.2" x14ac:dyDescent="0.25">
      <c r="A48" s="31"/>
      <c r="B48" s="31"/>
      <c r="C48" s="61"/>
      <c r="D48" s="61"/>
      <c r="E48" s="61"/>
      <c r="F48" s="61"/>
      <c r="G48" s="61"/>
      <c r="H48" s="6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3.2" x14ac:dyDescent="0.25">
      <c r="A49" s="31"/>
      <c r="B49" s="31"/>
      <c r="C49" s="61"/>
      <c r="D49" s="61"/>
      <c r="E49" s="61"/>
      <c r="F49" s="61"/>
      <c r="G49" s="61"/>
      <c r="H49" s="6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3.2" x14ac:dyDescent="0.25">
      <c r="A50" s="31"/>
      <c r="B50" s="31"/>
      <c r="C50" s="61"/>
      <c r="D50" s="61"/>
      <c r="E50" s="61"/>
      <c r="F50" s="61"/>
      <c r="G50" s="61"/>
      <c r="H50" s="6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3.2" x14ac:dyDescent="0.25">
      <c r="A51" s="31"/>
      <c r="B51" s="31"/>
      <c r="C51" s="61"/>
      <c r="D51" s="61"/>
      <c r="E51" s="61"/>
      <c r="F51" s="61"/>
      <c r="G51" s="61"/>
      <c r="H51" s="6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3.2" x14ac:dyDescent="0.25">
      <c r="A52" s="31"/>
      <c r="B52" s="31"/>
      <c r="C52" s="61"/>
      <c r="D52" s="61"/>
      <c r="E52" s="61"/>
      <c r="F52" s="61"/>
      <c r="G52" s="61"/>
      <c r="H52" s="6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3.2" x14ac:dyDescent="0.25">
      <c r="A53" s="31"/>
      <c r="B53" s="31"/>
      <c r="C53" s="61"/>
      <c r="D53" s="61"/>
      <c r="E53" s="61"/>
      <c r="F53" s="61"/>
      <c r="G53" s="61"/>
      <c r="H53" s="6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3.2" x14ac:dyDescent="0.25">
      <c r="A54" s="31"/>
      <c r="B54" s="31"/>
      <c r="C54" s="61"/>
      <c r="D54" s="61"/>
      <c r="E54" s="61"/>
      <c r="F54" s="61"/>
      <c r="G54" s="61"/>
      <c r="H54" s="6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3.2" x14ac:dyDescent="0.25">
      <c r="A55" s="31"/>
      <c r="B55" s="31"/>
      <c r="C55" s="61"/>
      <c r="D55" s="61"/>
      <c r="E55" s="61"/>
      <c r="F55" s="61"/>
      <c r="G55" s="61"/>
      <c r="H55" s="6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13.2" x14ac:dyDescent="0.25">
      <c r="A56" s="31"/>
      <c r="B56" s="31"/>
      <c r="C56" s="61"/>
      <c r="D56" s="61"/>
      <c r="E56" s="61"/>
      <c r="F56" s="61"/>
      <c r="G56" s="61"/>
      <c r="H56" s="6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3.2" x14ac:dyDescent="0.25">
      <c r="A57" s="31"/>
      <c r="B57" s="31"/>
      <c r="C57" s="61"/>
      <c r="D57" s="61"/>
      <c r="E57" s="61"/>
      <c r="F57" s="61"/>
      <c r="G57" s="61"/>
      <c r="H57" s="6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3.2" x14ac:dyDescent="0.25">
      <c r="A58" s="31"/>
      <c r="B58" s="31"/>
      <c r="C58" s="61"/>
      <c r="D58" s="61"/>
      <c r="E58" s="61"/>
      <c r="F58" s="61"/>
      <c r="G58" s="61"/>
      <c r="H58" s="6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3.2" x14ac:dyDescent="0.25">
      <c r="A59" s="31"/>
      <c r="B59" s="31"/>
      <c r="C59" s="61"/>
      <c r="D59" s="61"/>
      <c r="E59" s="61"/>
      <c r="F59" s="61"/>
      <c r="G59" s="61"/>
      <c r="H59" s="6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3.2" x14ac:dyDescent="0.25">
      <c r="A60" s="31"/>
      <c r="B60" s="31"/>
      <c r="C60" s="61"/>
      <c r="D60" s="61"/>
      <c r="E60" s="61"/>
      <c r="F60" s="61"/>
      <c r="G60" s="61"/>
      <c r="H60" s="6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3.2" x14ac:dyDescent="0.25">
      <c r="A61" s="31"/>
      <c r="B61" s="31"/>
      <c r="C61" s="61"/>
      <c r="D61" s="61"/>
      <c r="E61" s="61"/>
      <c r="F61" s="61"/>
      <c r="G61" s="61"/>
      <c r="H61" s="6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3.2" x14ac:dyDescent="0.25">
      <c r="A62" s="31"/>
      <c r="B62" s="31"/>
      <c r="C62" s="61"/>
      <c r="D62" s="61"/>
      <c r="E62" s="61"/>
      <c r="F62" s="61"/>
      <c r="G62" s="61"/>
      <c r="H62" s="6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ht="13.2" x14ac:dyDescent="0.25">
      <c r="A63" s="31"/>
      <c r="B63" s="31"/>
      <c r="C63" s="61"/>
      <c r="D63" s="61"/>
      <c r="E63" s="61"/>
      <c r="F63" s="61"/>
      <c r="G63" s="61"/>
      <c r="H63" s="6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3.2" x14ac:dyDescent="0.25">
      <c r="A64" s="31"/>
      <c r="B64" s="31"/>
      <c r="C64" s="61"/>
      <c r="D64" s="61"/>
      <c r="E64" s="61"/>
      <c r="F64" s="61"/>
      <c r="G64" s="61"/>
      <c r="H64" s="6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3.2" x14ac:dyDescent="0.25">
      <c r="A65" s="31"/>
      <c r="B65" s="31"/>
      <c r="C65" s="61"/>
      <c r="D65" s="61"/>
      <c r="E65" s="61"/>
      <c r="F65" s="61"/>
      <c r="G65" s="61"/>
      <c r="H65" s="6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3.2" x14ac:dyDescent="0.25">
      <c r="A66" s="31"/>
      <c r="B66" s="31"/>
      <c r="C66" s="61"/>
      <c r="D66" s="61"/>
      <c r="E66" s="61"/>
      <c r="F66" s="61"/>
      <c r="G66" s="61"/>
      <c r="H66" s="6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3.2" x14ac:dyDescent="0.25">
      <c r="A67" s="31"/>
      <c r="B67" s="31"/>
      <c r="C67" s="61"/>
      <c r="D67" s="61"/>
      <c r="E67" s="61"/>
      <c r="F67" s="61"/>
      <c r="G67" s="61"/>
      <c r="H67" s="6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3.2" x14ac:dyDescent="0.25">
      <c r="A68" s="31"/>
      <c r="B68" s="31"/>
      <c r="C68" s="61"/>
      <c r="D68" s="61"/>
      <c r="E68" s="61"/>
      <c r="F68" s="61"/>
      <c r="G68" s="61"/>
      <c r="H68" s="6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3.2" x14ac:dyDescent="0.25">
      <c r="A69" s="31"/>
      <c r="B69" s="31"/>
      <c r="C69" s="61"/>
      <c r="D69" s="61"/>
      <c r="E69" s="61"/>
      <c r="F69" s="61"/>
      <c r="G69" s="61"/>
      <c r="H69" s="6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3.2" x14ac:dyDescent="0.25">
      <c r="A70" s="31"/>
      <c r="B70" s="31"/>
      <c r="C70" s="61"/>
      <c r="D70" s="61"/>
      <c r="E70" s="61"/>
      <c r="F70" s="61"/>
      <c r="G70" s="61"/>
      <c r="H70" s="6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13.2" x14ac:dyDescent="0.25">
      <c r="A71" s="31"/>
      <c r="B71" s="31"/>
      <c r="C71" s="61"/>
      <c r="D71" s="61"/>
      <c r="E71" s="61"/>
      <c r="F71" s="61"/>
      <c r="G71" s="61"/>
      <c r="H71" s="6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13.2" x14ac:dyDescent="0.25">
      <c r="A72" s="31"/>
      <c r="B72" s="31"/>
      <c r="C72" s="61"/>
      <c r="D72" s="61"/>
      <c r="E72" s="61"/>
      <c r="F72" s="61"/>
      <c r="G72" s="61"/>
      <c r="H72" s="6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3.2" x14ac:dyDescent="0.25">
      <c r="A73" s="31"/>
      <c r="B73" s="31"/>
      <c r="C73" s="61"/>
      <c r="D73" s="61"/>
      <c r="E73" s="61"/>
      <c r="F73" s="61"/>
      <c r="G73" s="61"/>
      <c r="H73" s="6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3.2" x14ac:dyDescent="0.25">
      <c r="A74" s="31"/>
      <c r="B74" s="31"/>
      <c r="C74" s="61"/>
      <c r="D74" s="61"/>
      <c r="E74" s="61"/>
      <c r="F74" s="61"/>
      <c r="G74" s="61"/>
      <c r="H74" s="6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3.2" x14ac:dyDescent="0.25">
      <c r="A75" s="31"/>
      <c r="B75" s="31"/>
      <c r="C75" s="61"/>
      <c r="D75" s="61"/>
      <c r="E75" s="61"/>
      <c r="F75" s="61"/>
      <c r="G75" s="61"/>
      <c r="H75" s="6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3.2" x14ac:dyDescent="0.25">
      <c r="A76" s="31"/>
      <c r="B76" s="31"/>
      <c r="C76" s="61"/>
      <c r="D76" s="61"/>
      <c r="E76" s="61"/>
      <c r="F76" s="61"/>
      <c r="G76" s="61"/>
      <c r="H76" s="6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3.2" x14ac:dyDescent="0.25">
      <c r="A77" s="31"/>
      <c r="B77" s="31"/>
      <c r="C77" s="61"/>
      <c r="D77" s="61"/>
      <c r="E77" s="61"/>
      <c r="F77" s="61"/>
      <c r="G77" s="61"/>
      <c r="H77" s="6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3.2" x14ac:dyDescent="0.25">
      <c r="A78" s="31"/>
      <c r="B78" s="31"/>
      <c r="C78" s="61"/>
      <c r="D78" s="61"/>
      <c r="E78" s="61"/>
      <c r="F78" s="61"/>
      <c r="G78" s="61"/>
      <c r="H78" s="6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3.2" x14ac:dyDescent="0.25">
      <c r="A79" s="31"/>
      <c r="B79" s="31"/>
      <c r="C79" s="61"/>
      <c r="D79" s="61"/>
      <c r="E79" s="61"/>
      <c r="F79" s="61"/>
      <c r="G79" s="61"/>
      <c r="H79" s="6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3.2" x14ac:dyDescent="0.25">
      <c r="A80" s="31"/>
      <c r="B80" s="31"/>
      <c r="C80" s="61"/>
      <c r="D80" s="61"/>
      <c r="E80" s="61"/>
      <c r="F80" s="61"/>
      <c r="G80" s="61"/>
      <c r="H80" s="6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3.2" x14ac:dyDescent="0.25">
      <c r="A81" s="31"/>
      <c r="B81" s="31"/>
      <c r="C81" s="61"/>
      <c r="D81" s="61"/>
      <c r="E81" s="61"/>
      <c r="F81" s="61"/>
      <c r="G81" s="61"/>
      <c r="H81" s="6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13.2" x14ac:dyDescent="0.25">
      <c r="A82" s="31"/>
      <c r="B82" s="31"/>
      <c r="C82" s="61"/>
      <c r="D82" s="61"/>
      <c r="E82" s="61"/>
      <c r="F82" s="61"/>
      <c r="G82" s="61"/>
      <c r="H82" s="6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3.2" x14ac:dyDescent="0.25">
      <c r="A83" s="31"/>
      <c r="B83" s="31"/>
      <c r="C83" s="61"/>
      <c r="D83" s="61"/>
      <c r="E83" s="61"/>
      <c r="F83" s="61"/>
      <c r="G83" s="61"/>
      <c r="H83" s="6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ht="13.2" x14ac:dyDescent="0.25">
      <c r="A84" s="31"/>
      <c r="B84" s="31"/>
      <c r="C84" s="61"/>
      <c r="D84" s="61"/>
      <c r="E84" s="61"/>
      <c r="F84" s="61"/>
      <c r="G84" s="61"/>
      <c r="H84" s="6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13.2" x14ac:dyDescent="0.25">
      <c r="A85" s="31"/>
      <c r="B85" s="31"/>
      <c r="C85" s="61"/>
      <c r="D85" s="61"/>
      <c r="E85" s="61"/>
      <c r="F85" s="61"/>
      <c r="G85" s="61"/>
      <c r="H85" s="6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13.2" x14ac:dyDescent="0.25">
      <c r="A86" s="31"/>
      <c r="B86" s="31"/>
      <c r="C86" s="61"/>
      <c r="D86" s="61"/>
      <c r="E86" s="61"/>
      <c r="F86" s="61"/>
      <c r="G86" s="61"/>
      <c r="H86" s="6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3.2" x14ac:dyDescent="0.25">
      <c r="A87" s="31"/>
      <c r="B87" s="31"/>
      <c r="C87" s="61"/>
      <c r="D87" s="61"/>
      <c r="E87" s="61"/>
      <c r="F87" s="61"/>
      <c r="G87" s="61"/>
      <c r="H87" s="6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3.2" x14ac:dyDescent="0.25">
      <c r="A88" s="31"/>
      <c r="B88" s="31"/>
      <c r="C88" s="61"/>
      <c r="D88" s="61"/>
      <c r="E88" s="61"/>
      <c r="F88" s="61"/>
      <c r="G88" s="61"/>
      <c r="H88" s="6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3.2" x14ac:dyDescent="0.25">
      <c r="A89" s="31"/>
      <c r="B89" s="31"/>
      <c r="C89" s="61"/>
      <c r="D89" s="61"/>
      <c r="E89" s="61"/>
      <c r="F89" s="61"/>
      <c r="G89" s="61"/>
      <c r="H89" s="6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3.2" x14ac:dyDescent="0.25">
      <c r="A90" s="31"/>
      <c r="B90" s="31"/>
      <c r="C90" s="61"/>
      <c r="D90" s="61"/>
      <c r="E90" s="61"/>
      <c r="F90" s="61"/>
      <c r="G90" s="61"/>
      <c r="H90" s="6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3.2" x14ac:dyDescent="0.25">
      <c r="A91" s="31"/>
      <c r="B91" s="31"/>
      <c r="C91" s="61"/>
      <c r="D91" s="61"/>
      <c r="E91" s="61"/>
      <c r="F91" s="61"/>
      <c r="G91" s="61"/>
      <c r="H91" s="6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3.2" x14ac:dyDescent="0.25">
      <c r="A92" s="31"/>
      <c r="B92" s="31"/>
      <c r="C92" s="61"/>
      <c r="D92" s="61"/>
      <c r="E92" s="61"/>
      <c r="F92" s="61"/>
      <c r="G92" s="61"/>
      <c r="H92" s="6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3.2" x14ac:dyDescent="0.25">
      <c r="A93" s="31"/>
      <c r="B93" s="31"/>
      <c r="C93" s="61"/>
      <c r="D93" s="61"/>
      <c r="E93" s="61"/>
      <c r="F93" s="61"/>
      <c r="G93" s="61"/>
      <c r="H93" s="6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3.2" x14ac:dyDescent="0.25">
      <c r="A94" s="31"/>
      <c r="B94" s="31"/>
      <c r="C94" s="61"/>
      <c r="D94" s="61"/>
      <c r="E94" s="61"/>
      <c r="F94" s="61"/>
      <c r="G94" s="61"/>
      <c r="H94" s="6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3.2" x14ac:dyDescent="0.25">
      <c r="A95" s="31"/>
      <c r="B95" s="31"/>
      <c r="C95" s="61"/>
      <c r="D95" s="61"/>
      <c r="E95" s="61"/>
      <c r="F95" s="61"/>
      <c r="G95" s="61"/>
      <c r="H95" s="6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3.2" x14ac:dyDescent="0.25">
      <c r="A96" s="31"/>
      <c r="B96" s="31"/>
      <c r="C96" s="61"/>
      <c r="D96" s="61"/>
      <c r="E96" s="61"/>
      <c r="F96" s="61"/>
      <c r="G96" s="61"/>
      <c r="H96" s="6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ht="13.2" x14ac:dyDescent="0.25">
      <c r="A97" s="31"/>
      <c r="B97" s="31"/>
      <c r="C97" s="61"/>
      <c r="D97" s="61"/>
      <c r="E97" s="61"/>
      <c r="F97" s="61"/>
      <c r="G97" s="61"/>
      <c r="H97" s="6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ht="13.2" x14ac:dyDescent="0.25">
      <c r="A98" s="31"/>
      <c r="B98" s="31"/>
      <c r="C98" s="61"/>
      <c r="D98" s="61"/>
      <c r="E98" s="61"/>
      <c r="F98" s="61"/>
      <c r="G98" s="61"/>
      <c r="H98" s="6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ht="13.2" x14ac:dyDescent="0.25">
      <c r="A99" s="31"/>
      <c r="B99" s="31"/>
      <c r="C99" s="61"/>
      <c r="D99" s="61"/>
      <c r="E99" s="61"/>
      <c r="F99" s="61"/>
      <c r="G99" s="61"/>
      <c r="H99" s="6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ht="13.2" x14ac:dyDescent="0.25">
      <c r="A100" s="31"/>
      <c r="B100" s="31"/>
      <c r="C100" s="61"/>
      <c r="D100" s="61"/>
      <c r="E100" s="61"/>
      <c r="F100" s="61"/>
      <c r="G100" s="61"/>
      <c r="H100" s="6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ht="13.2" x14ac:dyDescent="0.25">
      <c r="A101" s="31"/>
      <c r="B101" s="31"/>
      <c r="C101" s="61"/>
      <c r="D101" s="61"/>
      <c r="E101" s="61"/>
      <c r="F101" s="61"/>
      <c r="G101" s="61"/>
      <c r="H101" s="6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ht="13.2" x14ac:dyDescent="0.25">
      <c r="A102" s="31"/>
      <c r="B102" s="31"/>
      <c r="C102" s="61"/>
      <c r="D102" s="61"/>
      <c r="E102" s="61"/>
      <c r="F102" s="61"/>
      <c r="G102" s="61"/>
      <c r="H102" s="6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3.2" x14ac:dyDescent="0.25">
      <c r="A103" s="31"/>
      <c r="B103" s="31"/>
      <c r="C103" s="61"/>
      <c r="D103" s="61"/>
      <c r="E103" s="61"/>
      <c r="F103" s="61"/>
      <c r="G103" s="61"/>
      <c r="H103" s="6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ht="13.2" x14ac:dyDescent="0.25">
      <c r="A104" s="31"/>
      <c r="B104" s="31"/>
      <c r="C104" s="61"/>
      <c r="D104" s="61"/>
      <c r="E104" s="61"/>
      <c r="F104" s="61"/>
      <c r="G104" s="61"/>
      <c r="H104" s="6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ht="13.2" x14ac:dyDescent="0.25">
      <c r="A105" s="31"/>
      <c r="B105" s="31"/>
      <c r="C105" s="61"/>
      <c r="D105" s="61"/>
      <c r="E105" s="61"/>
      <c r="F105" s="61"/>
      <c r="G105" s="61"/>
      <c r="H105" s="6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ht="13.2" x14ac:dyDescent="0.25">
      <c r="A106" s="31"/>
      <c r="B106" s="31"/>
      <c r="C106" s="61"/>
      <c r="D106" s="61"/>
      <c r="E106" s="61"/>
      <c r="F106" s="61"/>
      <c r="G106" s="61"/>
      <c r="H106" s="6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ht="13.2" x14ac:dyDescent="0.25">
      <c r="A107" s="31"/>
      <c r="B107" s="31"/>
      <c r="C107" s="61"/>
      <c r="D107" s="61"/>
      <c r="E107" s="61"/>
      <c r="F107" s="61"/>
      <c r="G107" s="61"/>
      <c r="H107" s="6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ht="13.2" x14ac:dyDescent="0.25">
      <c r="A108" s="31"/>
      <c r="B108" s="31"/>
      <c r="C108" s="61"/>
      <c r="D108" s="61"/>
      <c r="E108" s="61"/>
      <c r="F108" s="61"/>
      <c r="G108" s="61"/>
      <c r="H108" s="6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ht="13.2" x14ac:dyDescent="0.25">
      <c r="A109" s="31"/>
      <c r="B109" s="31"/>
      <c r="C109" s="61"/>
      <c r="D109" s="61"/>
      <c r="E109" s="61"/>
      <c r="F109" s="61"/>
      <c r="G109" s="61"/>
      <c r="H109" s="6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ht="13.2" x14ac:dyDescent="0.25">
      <c r="A110" s="31"/>
      <c r="B110" s="31"/>
      <c r="C110" s="61"/>
      <c r="D110" s="61"/>
      <c r="E110" s="61"/>
      <c r="F110" s="61"/>
      <c r="G110" s="61"/>
      <c r="H110" s="6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ht="13.2" x14ac:dyDescent="0.25">
      <c r="A111" s="31"/>
      <c r="B111" s="31"/>
      <c r="C111" s="61"/>
      <c r="D111" s="61"/>
      <c r="E111" s="61"/>
      <c r="F111" s="61"/>
      <c r="G111" s="61"/>
      <c r="H111" s="6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ht="13.2" x14ac:dyDescent="0.25">
      <c r="A112" s="31"/>
      <c r="B112" s="31"/>
      <c r="C112" s="61"/>
      <c r="D112" s="61"/>
      <c r="E112" s="61"/>
      <c r="F112" s="61"/>
      <c r="G112" s="61"/>
      <c r="H112" s="6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3.2" x14ac:dyDescent="0.25">
      <c r="A113" s="31"/>
      <c r="B113" s="31"/>
      <c r="C113" s="61"/>
      <c r="D113" s="61"/>
      <c r="E113" s="61"/>
      <c r="F113" s="61"/>
      <c r="G113" s="61"/>
      <c r="H113" s="6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3.2" x14ac:dyDescent="0.25">
      <c r="A114" s="31"/>
      <c r="B114" s="31"/>
      <c r="C114" s="61"/>
      <c r="D114" s="61"/>
      <c r="E114" s="61"/>
      <c r="F114" s="61"/>
      <c r="G114" s="61"/>
      <c r="H114" s="6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3.2" x14ac:dyDescent="0.25">
      <c r="A115" s="31"/>
      <c r="B115" s="31"/>
      <c r="C115" s="61"/>
      <c r="D115" s="61"/>
      <c r="E115" s="61"/>
      <c r="F115" s="61"/>
      <c r="G115" s="61"/>
      <c r="H115" s="6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3.2" x14ac:dyDescent="0.25">
      <c r="A116" s="31"/>
      <c r="B116" s="31"/>
      <c r="C116" s="61"/>
      <c r="D116" s="61"/>
      <c r="E116" s="61"/>
      <c r="F116" s="61"/>
      <c r="G116" s="61"/>
      <c r="H116" s="6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3.2" x14ac:dyDescent="0.25">
      <c r="A117" s="31"/>
      <c r="B117" s="31"/>
      <c r="C117" s="61"/>
      <c r="D117" s="61"/>
      <c r="E117" s="61"/>
      <c r="F117" s="61"/>
      <c r="G117" s="61"/>
      <c r="H117" s="6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3.2" x14ac:dyDescent="0.25">
      <c r="A118" s="31"/>
      <c r="B118" s="31"/>
      <c r="C118" s="61"/>
      <c r="D118" s="61"/>
      <c r="E118" s="61"/>
      <c r="F118" s="61"/>
      <c r="G118" s="61"/>
      <c r="H118" s="6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3.2" x14ac:dyDescent="0.25">
      <c r="A119" s="31"/>
      <c r="B119" s="31"/>
      <c r="C119" s="61"/>
      <c r="D119" s="61"/>
      <c r="E119" s="61"/>
      <c r="F119" s="61"/>
      <c r="G119" s="61"/>
      <c r="H119" s="6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ht="13.2" x14ac:dyDescent="0.25">
      <c r="A120" s="31"/>
      <c r="B120" s="31"/>
      <c r="C120" s="61"/>
      <c r="D120" s="61"/>
      <c r="E120" s="61"/>
      <c r="F120" s="61"/>
      <c r="G120" s="61"/>
      <c r="H120" s="6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ht="13.2" x14ac:dyDescent="0.25">
      <c r="A121" s="31"/>
      <c r="B121" s="31"/>
      <c r="C121" s="61"/>
      <c r="D121" s="61"/>
      <c r="E121" s="61"/>
      <c r="F121" s="61"/>
      <c r="G121" s="61"/>
      <c r="H121" s="6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ht="13.2" x14ac:dyDescent="0.25">
      <c r="A122" s="31"/>
      <c r="B122" s="31"/>
      <c r="C122" s="61"/>
      <c r="D122" s="61"/>
      <c r="E122" s="61"/>
      <c r="F122" s="61"/>
      <c r="G122" s="61"/>
      <c r="H122" s="6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ht="13.2" x14ac:dyDescent="0.25">
      <c r="A123" s="31"/>
      <c r="B123" s="31"/>
      <c r="C123" s="61"/>
      <c r="D123" s="61"/>
      <c r="E123" s="61"/>
      <c r="F123" s="61"/>
      <c r="G123" s="61"/>
      <c r="H123" s="6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ht="13.2" x14ac:dyDescent="0.25">
      <c r="A124" s="31"/>
      <c r="B124" s="31"/>
      <c r="C124" s="61"/>
      <c r="D124" s="61"/>
      <c r="E124" s="61"/>
      <c r="F124" s="61"/>
      <c r="G124" s="61"/>
      <c r="H124" s="6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ht="13.2" x14ac:dyDescent="0.25">
      <c r="A125" s="31"/>
      <c r="B125" s="31"/>
      <c r="C125" s="61"/>
      <c r="D125" s="61"/>
      <c r="E125" s="61"/>
      <c r="F125" s="61"/>
      <c r="G125" s="61"/>
      <c r="H125" s="6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ht="13.2" x14ac:dyDescent="0.25">
      <c r="A126" s="31"/>
      <c r="B126" s="31"/>
      <c r="C126" s="61"/>
      <c r="D126" s="61"/>
      <c r="E126" s="61"/>
      <c r="F126" s="61"/>
      <c r="G126" s="61"/>
      <c r="H126" s="6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ht="13.2" x14ac:dyDescent="0.25">
      <c r="A127" s="31"/>
      <c r="B127" s="31"/>
      <c r="C127" s="61"/>
      <c r="D127" s="61"/>
      <c r="E127" s="61"/>
      <c r="F127" s="61"/>
      <c r="G127" s="61"/>
      <c r="H127" s="6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ht="13.2" x14ac:dyDescent="0.25">
      <c r="A128" s="31"/>
      <c r="B128" s="31"/>
      <c r="C128" s="61"/>
      <c r="D128" s="61"/>
      <c r="E128" s="61"/>
      <c r="F128" s="61"/>
      <c r="G128" s="61"/>
      <c r="H128" s="6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ht="13.2" x14ac:dyDescent="0.25">
      <c r="A129" s="31"/>
      <c r="B129" s="31"/>
      <c r="C129" s="61"/>
      <c r="D129" s="61"/>
      <c r="E129" s="61"/>
      <c r="F129" s="61"/>
      <c r="G129" s="61"/>
      <c r="H129" s="6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ht="13.2" x14ac:dyDescent="0.25">
      <c r="A130" s="31"/>
      <c r="B130" s="31"/>
      <c r="C130" s="61"/>
      <c r="D130" s="61"/>
      <c r="E130" s="61"/>
      <c r="F130" s="61"/>
      <c r="G130" s="61"/>
      <c r="H130" s="6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ht="13.2" x14ac:dyDescent="0.25">
      <c r="A131" s="31"/>
      <c r="B131" s="31"/>
      <c r="C131" s="61"/>
      <c r="D131" s="61"/>
      <c r="E131" s="61"/>
      <c r="F131" s="61"/>
      <c r="G131" s="61"/>
      <c r="H131" s="6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ht="13.2" x14ac:dyDescent="0.25">
      <c r="A132" s="31"/>
      <c r="B132" s="31"/>
      <c r="C132" s="61"/>
      <c r="D132" s="61"/>
      <c r="E132" s="61"/>
      <c r="F132" s="61"/>
      <c r="G132" s="61"/>
      <c r="H132" s="6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ht="13.2" x14ac:dyDescent="0.25">
      <c r="A133" s="31"/>
      <c r="B133" s="31"/>
      <c r="C133" s="61"/>
      <c r="D133" s="61"/>
      <c r="E133" s="61"/>
      <c r="F133" s="61"/>
      <c r="G133" s="61"/>
      <c r="H133" s="6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ht="13.2" x14ac:dyDescent="0.25">
      <c r="A134" s="31"/>
      <c r="B134" s="31"/>
      <c r="C134" s="61"/>
      <c r="D134" s="61"/>
      <c r="E134" s="61"/>
      <c r="F134" s="61"/>
      <c r="G134" s="61"/>
      <c r="H134" s="6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ht="13.2" x14ac:dyDescent="0.25">
      <c r="A135" s="31"/>
      <c r="B135" s="31"/>
      <c r="C135" s="61"/>
      <c r="D135" s="61"/>
      <c r="E135" s="61"/>
      <c r="F135" s="61"/>
      <c r="G135" s="61"/>
      <c r="H135" s="6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ht="13.2" x14ac:dyDescent="0.25">
      <c r="A136" s="31"/>
      <c r="B136" s="31"/>
      <c r="C136" s="61"/>
      <c r="D136" s="61"/>
      <c r="E136" s="61"/>
      <c r="F136" s="61"/>
      <c r="G136" s="61"/>
      <c r="H136" s="6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ht="13.2" x14ac:dyDescent="0.25">
      <c r="A137" s="31"/>
      <c r="B137" s="31"/>
      <c r="C137" s="61"/>
      <c r="D137" s="61"/>
      <c r="E137" s="61"/>
      <c r="F137" s="61"/>
      <c r="G137" s="61"/>
      <c r="H137" s="6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ht="13.2" x14ac:dyDescent="0.25">
      <c r="A138" s="31"/>
      <c r="B138" s="31"/>
      <c r="C138" s="61"/>
      <c r="D138" s="61"/>
      <c r="E138" s="61"/>
      <c r="F138" s="61"/>
      <c r="G138" s="61"/>
      <c r="H138" s="6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ht="13.2" x14ac:dyDescent="0.25">
      <c r="A139" s="31"/>
      <c r="B139" s="31"/>
      <c r="C139" s="61"/>
      <c r="D139" s="61"/>
      <c r="E139" s="61"/>
      <c r="F139" s="61"/>
      <c r="G139" s="61"/>
      <c r="H139" s="6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ht="13.2" x14ac:dyDescent="0.25">
      <c r="A140" s="31"/>
      <c r="B140" s="31"/>
      <c r="C140" s="61"/>
      <c r="D140" s="61"/>
      <c r="E140" s="61"/>
      <c r="F140" s="61"/>
      <c r="G140" s="61"/>
      <c r="H140" s="6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ht="13.2" x14ac:dyDescent="0.25">
      <c r="A141" s="31"/>
      <c r="B141" s="31"/>
      <c r="C141" s="61"/>
      <c r="D141" s="61"/>
      <c r="E141" s="61"/>
      <c r="F141" s="61"/>
      <c r="G141" s="61"/>
      <c r="H141" s="6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ht="13.2" x14ac:dyDescent="0.25">
      <c r="A142" s="31"/>
      <c r="B142" s="31"/>
      <c r="C142" s="61"/>
      <c r="D142" s="61"/>
      <c r="E142" s="61"/>
      <c r="F142" s="61"/>
      <c r="G142" s="61"/>
      <c r="H142" s="6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ht="13.2" x14ac:dyDescent="0.25">
      <c r="A143" s="31"/>
      <c r="B143" s="31"/>
      <c r="C143" s="61"/>
      <c r="D143" s="61"/>
      <c r="E143" s="61"/>
      <c r="F143" s="61"/>
      <c r="G143" s="61"/>
      <c r="H143" s="6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ht="13.2" x14ac:dyDescent="0.25">
      <c r="A144" s="31"/>
      <c r="B144" s="31"/>
      <c r="C144" s="61"/>
      <c r="D144" s="61"/>
      <c r="E144" s="61"/>
      <c r="F144" s="61"/>
      <c r="G144" s="61"/>
      <c r="H144" s="6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ht="13.2" x14ac:dyDescent="0.25">
      <c r="A145" s="31"/>
      <c r="B145" s="31"/>
      <c r="C145" s="61"/>
      <c r="D145" s="61"/>
      <c r="E145" s="61"/>
      <c r="F145" s="61"/>
      <c r="G145" s="61"/>
      <c r="H145" s="6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ht="13.2" x14ac:dyDescent="0.25">
      <c r="A146" s="31"/>
      <c r="B146" s="31"/>
      <c r="C146" s="61"/>
      <c r="D146" s="61"/>
      <c r="E146" s="61"/>
      <c r="F146" s="61"/>
      <c r="G146" s="61"/>
      <c r="H146" s="6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ht="13.2" x14ac:dyDescent="0.25">
      <c r="A147" s="31"/>
      <c r="B147" s="31"/>
      <c r="C147" s="61"/>
      <c r="D147" s="61"/>
      <c r="E147" s="61"/>
      <c r="F147" s="61"/>
      <c r="G147" s="61"/>
      <c r="H147" s="6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ht="13.2" x14ac:dyDescent="0.25">
      <c r="A148" s="31"/>
      <c r="B148" s="31"/>
      <c r="C148" s="61"/>
      <c r="D148" s="61"/>
      <c r="E148" s="61"/>
      <c r="F148" s="61"/>
      <c r="G148" s="61"/>
      <c r="H148" s="6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ht="13.2" x14ac:dyDescent="0.25">
      <c r="A149" s="31"/>
      <c r="B149" s="31"/>
      <c r="C149" s="61"/>
      <c r="D149" s="61"/>
      <c r="E149" s="61"/>
      <c r="F149" s="61"/>
      <c r="G149" s="61"/>
      <c r="H149" s="6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ht="13.2" x14ac:dyDescent="0.25">
      <c r="A150" s="31"/>
      <c r="B150" s="31"/>
      <c r="C150" s="61"/>
      <c r="D150" s="61"/>
      <c r="E150" s="61"/>
      <c r="F150" s="61"/>
      <c r="G150" s="61"/>
      <c r="H150" s="6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ht="13.2" x14ac:dyDescent="0.25">
      <c r="A151" s="31"/>
      <c r="B151" s="31"/>
      <c r="C151" s="61"/>
      <c r="D151" s="61"/>
      <c r="E151" s="61"/>
      <c r="F151" s="61"/>
      <c r="G151" s="61"/>
      <c r="H151" s="6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ht="13.2" x14ac:dyDescent="0.25">
      <c r="A152" s="31"/>
      <c r="B152" s="31"/>
      <c r="C152" s="61"/>
      <c r="D152" s="61"/>
      <c r="E152" s="61"/>
      <c r="F152" s="61"/>
      <c r="G152" s="61"/>
      <c r="H152" s="6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ht="13.2" x14ac:dyDescent="0.25">
      <c r="A153" s="31"/>
      <c r="B153" s="31"/>
      <c r="C153" s="61"/>
      <c r="D153" s="61"/>
      <c r="E153" s="61"/>
      <c r="F153" s="61"/>
      <c r="G153" s="61"/>
      <c r="H153" s="6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ht="13.2" x14ac:dyDescent="0.25">
      <c r="A154" s="31"/>
      <c r="B154" s="31"/>
      <c r="C154" s="61"/>
      <c r="D154" s="61"/>
      <c r="E154" s="61"/>
      <c r="F154" s="61"/>
      <c r="G154" s="61"/>
      <c r="H154" s="6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ht="13.2" x14ac:dyDescent="0.25">
      <c r="A155" s="31"/>
      <c r="B155" s="31"/>
      <c r="C155" s="61"/>
      <c r="D155" s="61"/>
      <c r="E155" s="61"/>
      <c r="F155" s="61"/>
      <c r="G155" s="61"/>
      <c r="H155" s="6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ht="13.2" x14ac:dyDescent="0.25">
      <c r="A156" s="31"/>
      <c r="B156" s="31"/>
      <c r="C156" s="61"/>
      <c r="D156" s="61"/>
      <c r="E156" s="61"/>
      <c r="F156" s="61"/>
      <c r="G156" s="61"/>
      <c r="H156" s="6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ht="13.2" x14ac:dyDescent="0.25">
      <c r="A157" s="31"/>
      <c r="B157" s="31"/>
      <c r="C157" s="61"/>
      <c r="D157" s="61"/>
      <c r="E157" s="61"/>
      <c r="F157" s="61"/>
      <c r="G157" s="61"/>
      <c r="H157" s="6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ht="13.2" x14ac:dyDescent="0.25">
      <c r="A158" s="31"/>
      <c r="B158" s="31"/>
      <c r="C158" s="61"/>
      <c r="D158" s="61"/>
      <c r="E158" s="61"/>
      <c r="F158" s="61"/>
      <c r="G158" s="61"/>
      <c r="H158" s="6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ht="13.2" x14ac:dyDescent="0.25">
      <c r="A159" s="31"/>
      <c r="B159" s="31"/>
      <c r="C159" s="61"/>
      <c r="D159" s="61"/>
      <c r="E159" s="61"/>
      <c r="F159" s="61"/>
      <c r="G159" s="61"/>
      <c r="H159" s="6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ht="13.2" x14ac:dyDescent="0.25">
      <c r="A160" s="31"/>
      <c r="B160" s="31"/>
      <c r="C160" s="61"/>
      <c r="D160" s="61"/>
      <c r="E160" s="61"/>
      <c r="F160" s="61"/>
      <c r="G160" s="61"/>
      <c r="H160" s="6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ht="13.2" x14ac:dyDescent="0.25">
      <c r="A161" s="31"/>
      <c r="B161" s="31"/>
      <c r="C161" s="61"/>
      <c r="D161" s="61"/>
      <c r="E161" s="61"/>
      <c r="F161" s="61"/>
      <c r="G161" s="61"/>
      <c r="H161" s="6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ht="13.2" x14ac:dyDescent="0.25">
      <c r="A162" s="31"/>
      <c r="B162" s="31"/>
      <c r="C162" s="61"/>
      <c r="D162" s="61"/>
      <c r="E162" s="61"/>
      <c r="F162" s="61"/>
      <c r="G162" s="61"/>
      <c r="H162" s="6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ht="13.2" x14ac:dyDescent="0.25">
      <c r="A163" s="31"/>
      <c r="B163" s="31"/>
      <c r="C163" s="61"/>
      <c r="D163" s="61"/>
      <c r="E163" s="61"/>
      <c r="F163" s="61"/>
      <c r="G163" s="61"/>
      <c r="H163" s="6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ht="13.2" x14ac:dyDescent="0.25">
      <c r="A164" s="31"/>
      <c r="B164" s="31"/>
      <c r="C164" s="61"/>
      <c r="D164" s="61"/>
      <c r="E164" s="61"/>
      <c r="F164" s="61"/>
      <c r="G164" s="61"/>
      <c r="H164" s="6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ht="13.2" x14ac:dyDescent="0.25">
      <c r="A165" s="31"/>
      <c r="B165" s="31"/>
      <c r="C165" s="61"/>
      <c r="D165" s="61"/>
      <c r="E165" s="61"/>
      <c r="F165" s="61"/>
      <c r="G165" s="61"/>
      <c r="H165" s="6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ht="13.2" x14ac:dyDescent="0.25">
      <c r="A166" s="31"/>
      <c r="B166" s="31"/>
      <c r="C166" s="61"/>
      <c r="D166" s="61"/>
      <c r="E166" s="61"/>
      <c r="F166" s="61"/>
      <c r="G166" s="61"/>
      <c r="H166" s="6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ht="13.2" x14ac:dyDescent="0.25">
      <c r="A167" s="31"/>
      <c r="B167" s="31"/>
      <c r="C167" s="61"/>
      <c r="D167" s="61"/>
      <c r="E167" s="61"/>
      <c r="F167" s="61"/>
      <c r="G167" s="61"/>
      <c r="H167" s="6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ht="13.2" x14ac:dyDescent="0.25">
      <c r="A168" s="31"/>
      <c r="B168" s="31"/>
      <c r="C168" s="61"/>
      <c r="D168" s="61"/>
      <c r="E168" s="61"/>
      <c r="F168" s="61"/>
      <c r="G168" s="61"/>
      <c r="H168" s="6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13.2" x14ac:dyDescent="0.25">
      <c r="A169" s="31"/>
      <c r="B169" s="31"/>
      <c r="C169" s="61"/>
      <c r="D169" s="61"/>
      <c r="E169" s="61"/>
      <c r="F169" s="61"/>
      <c r="G169" s="61"/>
      <c r="H169" s="6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ht="13.2" x14ac:dyDescent="0.25">
      <c r="A170" s="31"/>
      <c r="B170" s="31"/>
      <c r="C170" s="61"/>
      <c r="D170" s="61"/>
      <c r="E170" s="61"/>
      <c r="F170" s="61"/>
      <c r="G170" s="61"/>
      <c r="H170" s="6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ht="13.2" x14ac:dyDescent="0.25">
      <c r="A171" s="31"/>
      <c r="B171" s="31"/>
      <c r="C171" s="61"/>
      <c r="D171" s="61"/>
      <c r="E171" s="61"/>
      <c r="F171" s="61"/>
      <c r="G171" s="61"/>
      <c r="H171" s="6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ht="13.2" x14ac:dyDescent="0.25">
      <c r="A172" s="31"/>
      <c r="B172" s="31"/>
      <c r="C172" s="61"/>
      <c r="D172" s="61"/>
      <c r="E172" s="61"/>
      <c r="F172" s="61"/>
      <c r="G172" s="61"/>
      <c r="H172" s="6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ht="13.2" x14ac:dyDescent="0.25">
      <c r="A173" s="31"/>
      <c r="B173" s="31"/>
      <c r="C173" s="61"/>
      <c r="D173" s="61"/>
      <c r="E173" s="61"/>
      <c r="F173" s="61"/>
      <c r="G173" s="61"/>
      <c r="H173" s="6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ht="13.2" x14ac:dyDescent="0.25">
      <c r="A174" s="31"/>
      <c r="B174" s="31"/>
      <c r="C174" s="61"/>
      <c r="D174" s="61"/>
      <c r="E174" s="61"/>
      <c r="F174" s="61"/>
      <c r="G174" s="61"/>
      <c r="H174" s="6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ht="13.2" x14ac:dyDescent="0.25">
      <c r="A175" s="31"/>
      <c r="B175" s="31"/>
      <c r="C175" s="61"/>
      <c r="D175" s="61"/>
      <c r="E175" s="61"/>
      <c r="F175" s="61"/>
      <c r="G175" s="61"/>
      <c r="H175" s="6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ht="13.2" x14ac:dyDescent="0.25">
      <c r="A176" s="31"/>
      <c r="B176" s="31"/>
      <c r="C176" s="61"/>
      <c r="D176" s="61"/>
      <c r="E176" s="61"/>
      <c r="F176" s="61"/>
      <c r="G176" s="61"/>
      <c r="H176" s="6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ht="13.2" x14ac:dyDescent="0.25">
      <c r="A177" s="31"/>
      <c r="B177" s="31"/>
      <c r="C177" s="61"/>
      <c r="D177" s="61"/>
      <c r="E177" s="61"/>
      <c r="F177" s="61"/>
      <c r="G177" s="61"/>
      <c r="H177" s="6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ht="13.2" x14ac:dyDescent="0.25">
      <c r="A178" s="31"/>
      <c r="B178" s="31"/>
      <c r="C178" s="61"/>
      <c r="D178" s="61"/>
      <c r="E178" s="61"/>
      <c r="F178" s="61"/>
      <c r="G178" s="61"/>
      <c r="H178" s="6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ht="13.2" x14ac:dyDescent="0.25">
      <c r="A179" s="31"/>
      <c r="B179" s="31"/>
      <c r="C179" s="61"/>
      <c r="D179" s="61"/>
      <c r="E179" s="61"/>
      <c r="F179" s="61"/>
      <c r="G179" s="61"/>
      <c r="H179" s="6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ht="13.2" x14ac:dyDescent="0.25">
      <c r="A180" s="31"/>
      <c r="B180" s="31"/>
      <c r="C180" s="61"/>
      <c r="D180" s="61"/>
      <c r="E180" s="61"/>
      <c r="F180" s="61"/>
      <c r="G180" s="61"/>
      <c r="H180" s="6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ht="13.2" x14ac:dyDescent="0.25">
      <c r="A181" s="31"/>
      <c r="B181" s="31"/>
      <c r="C181" s="61"/>
      <c r="D181" s="61"/>
      <c r="E181" s="61"/>
      <c r="F181" s="61"/>
      <c r="G181" s="61"/>
      <c r="H181" s="6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ht="13.2" x14ac:dyDescent="0.25">
      <c r="A182" s="31"/>
      <c r="B182" s="31"/>
      <c r="C182" s="61"/>
      <c r="D182" s="61"/>
      <c r="E182" s="61"/>
      <c r="F182" s="61"/>
      <c r="G182" s="61"/>
      <c r="H182" s="6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ht="13.2" x14ac:dyDescent="0.25">
      <c r="A183" s="31"/>
      <c r="B183" s="31"/>
      <c r="C183" s="61"/>
      <c r="D183" s="61"/>
      <c r="E183" s="61"/>
      <c r="F183" s="61"/>
      <c r="G183" s="61"/>
      <c r="H183" s="6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ht="13.2" x14ac:dyDescent="0.25">
      <c r="A184" s="31"/>
      <c r="B184" s="31"/>
      <c r="C184" s="61"/>
      <c r="D184" s="61"/>
      <c r="E184" s="61"/>
      <c r="F184" s="61"/>
      <c r="G184" s="61"/>
      <c r="H184" s="6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ht="13.2" x14ac:dyDescent="0.25">
      <c r="A185" s="31"/>
      <c r="B185" s="31"/>
      <c r="C185" s="61"/>
      <c r="D185" s="61"/>
      <c r="E185" s="61"/>
      <c r="F185" s="61"/>
      <c r="G185" s="61"/>
      <c r="H185" s="6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ht="13.2" x14ac:dyDescent="0.25">
      <c r="A186" s="31"/>
      <c r="B186" s="31"/>
      <c r="C186" s="61"/>
      <c r="D186" s="61"/>
      <c r="E186" s="61"/>
      <c r="F186" s="61"/>
      <c r="G186" s="61"/>
      <c r="H186" s="6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ht="13.2" x14ac:dyDescent="0.25">
      <c r="A187" s="31"/>
      <c r="B187" s="31"/>
      <c r="C187" s="61"/>
      <c r="D187" s="61"/>
      <c r="E187" s="61"/>
      <c r="F187" s="61"/>
      <c r="G187" s="61"/>
      <c r="H187" s="6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ht="13.2" x14ac:dyDescent="0.25">
      <c r="A188" s="31"/>
      <c r="B188" s="31"/>
      <c r="C188" s="61"/>
      <c r="D188" s="61"/>
      <c r="E188" s="61"/>
      <c r="F188" s="61"/>
      <c r="G188" s="61"/>
      <c r="H188" s="6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ht="13.2" x14ac:dyDescent="0.25">
      <c r="A189" s="31"/>
      <c r="B189" s="31"/>
      <c r="C189" s="61"/>
      <c r="D189" s="61"/>
      <c r="E189" s="61"/>
      <c r="F189" s="61"/>
      <c r="G189" s="61"/>
      <c r="H189" s="6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ht="13.2" x14ac:dyDescent="0.25">
      <c r="A190" s="31"/>
      <c r="B190" s="31"/>
      <c r="C190" s="61"/>
      <c r="D190" s="61"/>
      <c r="E190" s="61"/>
      <c r="F190" s="61"/>
      <c r="G190" s="61"/>
      <c r="H190" s="6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ht="13.2" x14ac:dyDescent="0.25">
      <c r="A191" s="31"/>
      <c r="B191" s="31"/>
      <c r="C191" s="61"/>
      <c r="D191" s="61"/>
      <c r="E191" s="61"/>
      <c r="F191" s="61"/>
      <c r="G191" s="61"/>
      <c r="H191" s="6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ht="13.2" x14ac:dyDescent="0.25">
      <c r="A192" s="31"/>
      <c r="B192" s="31"/>
      <c r="C192" s="61"/>
      <c r="D192" s="61"/>
      <c r="E192" s="61"/>
      <c r="F192" s="61"/>
      <c r="G192" s="61"/>
      <c r="H192" s="6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ht="13.2" x14ac:dyDescent="0.25">
      <c r="A193" s="31"/>
      <c r="B193" s="31"/>
      <c r="C193" s="61"/>
      <c r="D193" s="61"/>
      <c r="E193" s="61"/>
      <c r="F193" s="61"/>
      <c r="G193" s="61"/>
      <c r="H193" s="6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ht="13.2" x14ac:dyDescent="0.25">
      <c r="A194" s="31"/>
      <c r="B194" s="31"/>
      <c r="C194" s="61"/>
      <c r="D194" s="61"/>
      <c r="E194" s="61"/>
      <c r="F194" s="61"/>
      <c r="G194" s="61"/>
      <c r="H194" s="6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ht="13.2" x14ac:dyDescent="0.25">
      <c r="A195" s="31"/>
      <c r="B195" s="31"/>
      <c r="C195" s="61"/>
      <c r="D195" s="61"/>
      <c r="E195" s="61"/>
      <c r="F195" s="61"/>
      <c r="G195" s="61"/>
      <c r="H195" s="6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ht="13.2" x14ac:dyDescent="0.25">
      <c r="A196" s="31"/>
      <c r="B196" s="31"/>
      <c r="C196" s="61"/>
      <c r="D196" s="61"/>
      <c r="E196" s="61"/>
      <c r="F196" s="61"/>
      <c r="G196" s="61"/>
      <c r="H196" s="6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ht="13.2" x14ac:dyDescent="0.25">
      <c r="A197" s="31"/>
      <c r="B197" s="31"/>
      <c r="C197" s="61"/>
      <c r="D197" s="61"/>
      <c r="E197" s="61"/>
      <c r="F197" s="61"/>
      <c r="G197" s="61"/>
      <c r="H197" s="6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ht="13.2" x14ac:dyDescent="0.25">
      <c r="A198" s="31"/>
      <c r="B198" s="31"/>
      <c r="C198" s="61"/>
      <c r="D198" s="61"/>
      <c r="E198" s="61"/>
      <c r="F198" s="61"/>
      <c r="G198" s="61"/>
      <c r="H198" s="6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ht="13.2" x14ac:dyDescent="0.25">
      <c r="A199" s="31"/>
      <c r="B199" s="31"/>
      <c r="C199" s="61"/>
      <c r="D199" s="61"/>
      <c r="E199" s="61"/>
      <c r="F199" s="61"/>
      <c r="G199" s="61"/>
      <c r="H199" s="6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ht="13.2" x14ac:dyDescent="0.25">
      <c r="A200" s="31"/>
      <c r="B200" s="31"/>
      <c r="C200" s="61"/>
      <c r="D200" s="61"/>
      <c r="E200" s="61"/>
      <c r="F200" s="61"/>
      <c r="G200" s="61"/>
      <c r="H200" s="6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ht="13.2" x14ac:dyDescent="0.25">
      <c r="A201" s="31"/>
      <c r="B201" s="31"/>
      <c r="C201" s="61"/>
      <c r="D201" s="61"/>
      <c r="E201" s="61"/>
      <c r="F201" s="61"/>
      <c r="G201" s="61"/>
      <c r="H201" s="6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ht="13.2" x14ac:dyDescent="0.25">
      <c r="A202" s="31"/>
      <c r="B202" s="31"/>
      <c r="C202" s="61"/>
      <c r="D202" s="61"/>
      <c r="E202" s="61"/>
      <c r="F202" s="61"/>
      <c r="G202" s="61"/>
      <c r="H202" s="6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ht="13.2" x14ac:dyDescent="0.25">
      <c r="A203" s="31"/>
      <c r="B203" s="31"/>
      <c r="C203" s="61"/>
      <c r="D203" s="61"/>
      <c r="E203" s="61"/>
      <c r="F203" s="61"/>
      <c r="G203" s="61"/>
      <c r="H203" s="6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ht="13.2" x14ac:dyDescent="0.25">
      <c r="A204" s="31"/>
      <c r="B204" s="31"/>
      <c r="C204" s="61"/>
      <c r="D204" s="61"/>
      <c r="E204" s="61"/>
      <c r="F204" s="61"/>
      <c r="G204" s="61"/>
      <c r="H204" s="6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ht="13.2" x14ac:dyDescent="0.25">
      <c r="A205" s="31"/>
      <c r="B205" s="31"/>
      <c r="C205" s="61"/>
      <c r="D205" s="61"/>
      <c r="E205" s="61"/>
      <c r="F205" s="61"/>
      <c r="G205" s="61"/>
      <c r="H205" s="6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ht="13.2" x14ac:dyDescent="0.25">
      <c r="A206" s="31"/>
      <c r="B206" s="31"/>
      <c r="C206" s="61"/>
      <c r="D206" s="61"/>
      <c r="E206" s="61"/>
      <c r="F206" s="61"/>
      <c r="G206" s="61"/>
      <c r="H206" s="6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ht="13.2" x14ac:dyDescent="0.25">
      <c r="A207" s="31"/>
      <c r="B207" s="31"/>
      <c r="C207" s="61"/>
      <c r="D207" s="61"/>
      <c r="E207" s="61"/>
      <c r="F207" s="61"/>
      <c r="G207" s="61"/>
      <c r="H207" s="6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ht="13.2" x14ac:dyDescent="0.25">
      <c r="A208" s="31"/>
      <c r="B208" s="31"/>
      <c r="C208" s="61"/>
      <c r="D208" s="61"/>
      <c r="E208" s="61"/>
      <c r="F208" s="61"/>
      <c r="G208" s="61"/>
      <c r="H208" s="6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ht="13.2" x14ac:dyDescent="0.25">
      <c r="A209" s="31"/>
      <c r="B209" s="31"/>
      <c r="C209" s="61"/>
      <c r="D209" s="61"/>
      <c r="E209" s="61"/>
      <c r="F209" s="61"/>
      <c r="G209" s="61"/>
      <c r="H209" s="6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ht="13.2" x14ac:dyDescent="0.25">
      <c r="A210" s="31"/>
      <c r="B210" s="31"/>
      <c r="C210" s="61"/>
      <c r="D210" s="61"/>
      <c r="E210" s="61"/>
      <c r="F210" s="61"/>
      <c r="G210" s="61"/>
      <c r="H210" s="6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ht="13.2" x14ac:dyDescent="0.25">
      <c r="A211" s="31"/>
      <c r="B211" s="31"/>
      <c r="C211" s="61"/>
      <c r="D211" s="61"/>
      <c r="E211" s="61"/>
      <c r="F211" s="61"/>
      <c r="G211" s="61"/>
      <c r="H211" s="6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ht="13.2" x14ac:dyDescent="0.25">
      <c r="A212" s="31"/>
      <c r="B212" s="31"/>
      <c r="C212" s="61"/>
      <c r="D212" s="61"/>
      <c r="E212" s="61"/>
      <c r="F212" s="61"/>
      <c r="G212" s="61"/>
      <c r="H212" s="6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ht="13.2" x14ac:dyDescent="0.25">
      <c r="A213" s="31"/>
      <c r="B213" s="31"/>
      <c r="C213" s="61"/>
      <c r="D213" s="61"/>
      <c r="E213" s="61"/>
      <c r="F213" s="61"/>
      <c r="G213" s="61"/>
      <c r="H213" s="6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ht="13.2" x14ac:dyDescent="0.25">
      <c r="A214" s="31"/>
      <c r="B214" s="31"/>
      <c r="C214" s="61"/>
      <c r="D214" s="61"/>
      <c r="E214" s="61"/>
      <c r="F214" s="61"/>
      <c r="G214" s="61"/>
      <c r="H214" s="6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ht="13.2" x14ac:dyDescent="0.25">
      <c r="A215" s="31"/>
      <c r="B215" s="31"/>
      <c r="C215" s="61"/>
      <c r="D215" s="61"/>
      <c r="E215" s="61"/>
      <c r="F215" s="61"/>
      <c r="G215" s="61"/>
      <c r="H215" s="6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ht="13.2" x14ac:dyDescent="0.25">
      <c r="A216" s="31"/>
      <c r="B216" s="31"/>
      <c r="C216" s="61"/>
      <c r="D216" s="61"/>
      <c r="E216" s="61"/>
      <c r="F216" s="61"/>
      <c r="G216" s="61"/>
      <c r="H216" s="6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ht="13.2" x14ac:dyDescent="0.25">
      <c r="A217" s="31"/>
      <c r="B217" s="31"/>
      <c r="C217" s="61"/>
      <c r="D217" s="61"/>
      <c r="E217" s="61"/>
      <c r="F217" s="61"/>
      <c r="G217" s="61"/>
      <c r="H217" s="6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ht="13.2" x14ac:dyDescent="0.25">
      <c r="A218" s="31"/>
      <c r="B218" s="31"/>
      <c r="C218" s="61"/>
      <c r="D218" s="61"/>
      <c r="E218" s="61"/>
      <c r="F218" s="61"/>
      <c r="G218" s="61"/>
      <c r="H218" s="6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ht="13.2" x14ac:dyDescent="0.25">
      <c r="A219" s="31"/>
      <c r="B219" s="31"/>
      <c r="C219" s="61"/>
      <c r="D219" s="61"/>
      <c r="E219" s="61"/>
      <c r="F219" s="61"/>
      <c r="G219" s="61"/>
      <c r="H219" s="6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ht="13.2" x14ac:dyDescent="0.25">
      <c r="A220" s="31"/>
      <c r="B220" s="31"/>
      <c r="C220" s="61"/>
      <c r="D220" s="61"/>
      <c r="E220" s="61"/>
      <c r="F220" s="61"/>
      <c r="G220" s="61"/>
      <c r="H220" s="6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ht="13.2" x14ac:dyDescent="0.25">
      <c r="A221" s="31"/>
      <c r="B221" s="31"/>
      <c r="C221" s="61"/>
      <c r="D221" s="61"/>
      <c r="E221" s="61"/>
      <c r="F221" s="61"/>
      <c r="G221" s="61"/>
      <c r="H221" s="6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ht="13.2" x14ac:dyDescent="0.25">
      <c r="A222" s="31"/>
      <c r="B222" s="31"/>
      <c r="C222" s="61"/>
      <c r="D222" s="61"/>
      <c r="E222" s="61"/>
      <c r="F222" s="61"/>
      <c r="G222" s="61"/>
      <c r="H222" s="6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ht="13.2" x14ac:dyDescent="0.25">
      <c r="A223" s="31"/>
      <c r="B223" s="31"/>
      <c r="C223" s="61"/>
      <c r="D223" s="61"/>
      <c r="E223" s="61"/>
      <c r="F223" s="61"/>
      <c r="G223" s="61"/>
      <c r="H223" s="6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ht="13.2" x14ac:dyDescent="0.25">
      <c r="A224" s="31"/>
      <c r="B224" s="31"/>
      <c r="C224" s="61"/>
      <c r="D224" s="61"/>
      <c r="E224" s="61"/>
      <c r="F224" s="61"/>
      <c r="G224" s="61"/>
      <c r="H224" s="6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ht="13.2" x14ac:dyDescent="0.25">
      <c r="A225" s="31"/>
      <c r="B225" s="31"/>
      <c r="C225" s="61"/>
      <c r="D225" s="61"/>
      <c r="E225" s="61"/>
      <c r="F225" s="61"/>
      <c r="G225" s="61"/>
      <c r="H225" s="6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ht="13.2" x14ac:dyDescent="0.25">
      <c r="A226" s="31"/>
      <c r="B226" s="31"/>
      <c r="C226" s="61"/>
      <c r="D226" s="61"/>
      <c r="E226" s="61"/>
      <c r="F226" s="61"/>
      <c r="G226" s="61"/>
      <c r="H226" s="6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ht="13.2" x14ac:dyDescent="0.25">
      <c r="A227" s="31"/>
      <c r="B227" s="31"/>
      <c r="C227" s="61"/>
      <c r="D227" s="61"/>
      <c r="E227" s="61"/>
      <c r="F227" s="61"/>
      <c r="G227" s="61"/>
      <c r="H227" s="6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ht="13.2" x14ac:dyDescent="0.25">
      <c r="A228" s="31"/>
      <c r="B228" s="31"/>
      <c r="C228" s="61"/>
      <c r="D228" s="61"/>
      <c r="E228" s="61"/>
      <c r="F228" s="61"/>
      <c r="G228" s="61"/>
      <c r="H228" s="6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ht="13.2" x14ac:dyDescent="0.25">
      <c r="A229" s="31"/>
      <c r="B229" s="31"/>
      <c r="C229" s="61"/>
      <c r="D229" s="61"/>
      <c r="E229" s="61"/>
      <c r="F229" s="61"/>
      <c r="G229" s="61"/>
      <c r="H229" s="6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ht="13.2" x14ac:dyDescent="0.25">
      <c r="A230" s="31"/>
      <c r="B230" s="31"/>
      <c r="C230" s="61"/>
      <c r="D230" s="61"/>
      <c r="E230" s="61"/>
      <c r="F230" s="61"/>
      <c r="G230" s="61"/>
      <c r="H230" s="6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ht="13.2" x14ac:dyDescent="0.25">
      <c r="A231" s="31"/>
      <c r="B231" s="31"/>
      <c r="C231" s="61"/>
      <c r="D231" s="61"/>
      <c r="E231" s="61"/>
      <c r="F231" s="61"/>
      <c r="G231" s="61"/>
      <c r="H231" s="6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ht="13.2" x14ac:dyDescent="0.25">
      <c r="A232" s="31"/>
      <c r="B232" s="31"/>
      <c r="C232" s="61"/>
      <c r="D232" s="61"/>
      <c r="E232" s="61"/>
      <c r="F232" s="61"/>
      <c r="G232" s="61"/>
      <c r="H232" s="6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ht="13.2" x14ac:dyDescent="0.25">
      <c r="A233" s="31"/>
      <c r="B233" s="31"/>
      <c r="C233" s="61"/>
      <c r="D233" s="61"/>
      <c r="E233" s="61"/>
      <c r="F233" s="61"/>
      <c r="G233" s="61"/>
      <c r="H233" s="6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ht="13.2" x14ac:dyDescent="0.25">
      <c r="A234" s="31"/>
      <c r="B234" s="31"/>
      <c r="C234" s="61"/>
      <c r="D234" s="61"/>
      <c r="E234" s="61"/>
      <c r="F234" s="61"/>
      <c r="G234" s="61"/>
      <c r="H234" s="6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ht="13.2" x14ac:dyDescent="0.25">
      <c r="A235" s="31"/>
      <c r="B235" s="31"/>
      <c r="C235" s="61"/>
      <c r="D235" s="61"/>
      <c r="E235" s="61"/>
      <c r="F235" s="61"/>
      <c r="G235" s="61"/>
      <c r="H235" s="6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ht="13.2" x14ac:dyDescent="0.25">
      <c r="A236" s="31"/>
      <c r="B236" s="31"/>
      <c r="C236" s="61"/>
      <c r="D236" s="61"/>
      <c r="E236" s="61"/>
      <c r="F236" s="61"/>
      <c r="G236" s="61"/>
      <c r="H236" s="6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ht="13.2" x14ac:dyDescent="0.25">
      <c r="A237" s="31"/>
      <c r="B237" s="31"/>
      <c r="C237" s="61"/>
      <c r="D237" s="61"/>
      <c r="E237" s="61"/>
      <c r="F237" s="61"/>
      <c r="G237" s="61"/>
      <c r="H237" s="6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ht="13.2" x14ac:dyDescent="0.25">
      <c r="A238" s="31"/>
      <c r="B238" s="31"/>
      <c r="C238" s="61"/>
      <c r="D238" s="61"/>
      <c r="E238" s="61"/>
      <c r="F238" s="61"/>
      <c r="G238" s="61"/>
      <c r="H238" s="6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ht="13.2" x14ac:dyDescent="0.25">
      <c r="A239" s="31"/>
      <c r="B239" s="31"/>
      <c r="C239" s="61"/>
      <c r="D239" s="61"/>
      <c r="E239" s="61"/>
      <c r="F239" s="61"/>
      <c r="G239" s="61"/>
      <c r="H239" s="6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ht="13.2" x14ac:dyDescent="0.25">
      <c r="A240" s="31"/>
      <c r="B240" s="31"/>
      <c r="C240" s="61"/>
      <c r="D240" s="61"/>
      <c r="E240" s="61"/>
      <c r="F240" s="61"/>
      <c r="G240" s="61"/>
      <c r="H240" s="6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ht="13.2" x14ac:dyDescent="0.25">
      <c r="A241" s="31"/>
      <c r="B241" s="31"/>
      <c r="C241" s="61"/>
      <c r="D241" s="61"/>
      <c r="E241" s="61"/>
      <c r="F241" s="61"/>
      <c r="G241" s="61"/>
      <c r="H241" s="6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ht="13.2" x14ac:dyDescent="0.25">
      <c r="A242" s="31"/>
      <c r="B242" s="31"/>
      <c r="C242" s="61"/>
      <c r="D242" s="61"/>
      <c r="E242" s="61"/>
      <c r="F242" s="61"/>
      <c r="G242" s="61"/>
      <c r="H242" s="6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ht="13.2" x14ac:dyDescent="0.25">
      <c r="A243" s="31"/>
      <c r="B243" s="31"/>
      <c r="C243" s="61"/>
      <c r="D243" s="61"/>
      <c r="E243" s="61"/>
      <c r="F243" s="61"/>
      <c r="G243" s="61"/>
      <c r="H243" s="6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ht="13.2" x14ac:dyDescent="0.25">
      <c r="A244" s="31"/>
      <c r="B244" s="31"/>
      <c r="C244" s="61"/>
      <c r="D244" s="61"/>
      <c r="E244" s="61"/>
      <c r="F244" s="61"/>
      <c r="G244" s="61"/>
      <c r="H244" s="6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ht="13.2" x14ac:dyDescent="0.25">
      <c r="A245" s="31"/>
      <c r="B245" s="31"/>
      <c r="C245" s="61"/>
      <c r="D245" s="61"/>
      <c r="E245" s="61"/>
      <c r="F245" s="61"/>
      <c r="G245" s="61"/>
      <c r="H245" s="6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ht="13.2" x14ac:dyDescent="0.25">
      <c r="A246" s="31"/>
      <c r="B246" s="31"/>
      <c r="C246" s="61"/>
      <c r="D246" s="61"/>
      <c r="E246" s="61"/>
      <c r="F246" s="61"/>
      <c r="G246" s="61"/>
      <c r="H246" s="6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ht="13.2" x14ac:dyDescent="0.25">
      <c r="A247" s="31"/>
      <c r="B247" s="31"/>
      <c r="C247" s="61"/>
      <c r="D247" s="61"/>
      <c r="E247" s="61"/>
      <c r="F247" s="61"/>
      <c r="G247" s="61"/>
      <c r="H247" s="6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ht="13.2" x14ac:dyDescent="0.25">
      <c r="A248" s="31"/>
      <c r="B248" s="31"/>
      <c r="C248" s="61"/>
      <c r="D248" s="61"/>
      <c r="E248" s="61"/>
      <c r="F248" s="61"/>
      <c r="G248" s="61"/>
      <c r="H248" s="6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ht="13.2" x14ac:dyDescent="0.25">
      <c r="A249" s="31"/>
      <c r="B249" s="31"/>
      <c r="C249" s="61"/>
      <c r="D249" s="61"/>
      <c r="E249" s="61"/>
      <c r="F249" s="61"/>
      <c r="G249" s="61"/>
      <c r="H249" s="6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ht="13.2" x14ac:dyDescent="0.25">
      <c r="A250" s="31"/>
      <c r="B250" s="31"/>
      <c r="C250" s="61"/>
      <c r="D250" s="61"/>
      <c r="E250" s="61"/>
      <c r="F250" s="61"/>
      <c r="G250" s="61"/>
      <c r="H250" s="6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ht="13.2" x14ac:dyDescent="0.25">
      <c r="A251" s="31"/>
      <c r="B251" s="31"/>
      <c r="C251" s="61"/>
      <c r="D251" s="61"/>
      <c r="E251" s="61"/>
      <c r="F251" s="61"/>
      <c r="G251" s="61"/>
      <c r="H251" s="6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ht="13.2" x14ac:dyDescent="0.25">
      <c r="A252" s="31"/>
      <c r="B252" s="31"/>
      <c r="C252" s="61"/>
      <c r="D252" s="61"/>
      <c r="E252" s="61"/>
      <c r="F252" s="61"/>
      <c r="G252" s="61"/>
      <c r="H252" s="6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ht="13.2" x14ac:dyDescent="0.25">
      <c r="A253" s="31"/>
      <c r="B253" s="31"/>
      <c r="C253" s="61"/>
      <c r="D253" s="61"/>
      <c r="E253" s="61"/>
      <c r="F253" s="61"/>
      <c r="G253" s="61"/>
      <c r="H253" s="6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ht="13.2" x14ac:dyDescent="0.25">
      <c r="A254" s="31"/>
      <c r="B254" s="31"/>
      <c r="C254" s="61"/>
      <c r="D254" s="61"/>
      <c r="E254" s="61"/>
      <c r="F254" s="61"/>
      <c r="G254" s="61"/>
      <c r="H254" s="6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ht="13.2" x14ac:dyDescent="0.25">
      <c r="A255" s="31"/>
      <c r="B255" s="31"/>
      <c r="C255" s="61"/>
      <c r="D255" s="61"/>
      <c r="E255" s="61"/>
      <c r="F255" s="61"/>
      <c r="G255" s="61"/>
      <c r="H255" s="6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ht="13.2" x14ac:dyDescent="0.25">
      <c r="A256" s="31"/>
      <c r="B256" s="31"/>
      <c r="C256" s="61"/>
      <c r="D256" s="61"/>
      <c r="E256" s="61"/>
      <c r="F256" s="61"/>
      <c r="G256" s="61"/>
      <c r="H256" s="6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ht="13.2" x14ac:dyDescent="0.25">
      <c r="A257" s="31"/>
      <c r="B257" s="31"/>
      <c r="C257" s="61"/>
      <c r="D257" s="61"/>
      <c r="E257" s="61"/>
      <c r="F257" s="61"/>
      <c r="G257" s="61"/>
      <c r="H257" s="6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ht="13.2" x14ac:dyDescent="0.25">
      <c r="A258" s="31"/>
      <c r="B258" s="31"/>
      <c r="C258" s="61"/>
      <c r="D258" s="61"/>
      <c r="E258" s="61"/>
      <c r="F258" s="61"/>
      <c r="G258" s="61"/>
      <c r="H258" s="6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ht="13.2" x14ac:dyDescent="0.25">
      <c r="A259" s="31"/>
      <c r="B259" s="31"/>
      <c r="C259" s="61"/>
      <c r="D259" s="61"/>
      <c r="E259" s="61"/>
      <c r="F259" s="61"/>
      <c r="G259" s="61"/>
      <c r="H259" s="6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ht="13.2" x14ac:dyDescent="0.25">
      <c r="A260" s="31"/>
      <c r="B260" s="31"/>
      <c r="C260" s="61"/>
      <c r="D260" s="61"/>
      <c r="E260" s="61"/>
      <c r="F260" s="61"/>
      <c r="G260" s="61"/>
      <c r="H260" s="6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ht="13.2" x14ac:dyDescent="0.25">
      <c r="A261" s="31"/>
      <c r="B261" s="31"/>
      <c r="C261" s="61"/>
      <c r="D261" s="61"/>
      <c r="E261" s="61"/>
      <c r="F261" s="61"/>
      <c r="G261" s="61"/>
      <c r="H261" s="6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ht="13.2" x14ac:dyDescent="0.25">
      <c r="A262" s="31"/>
      <c r="B262" s="31"/>
      <c r="C262" s="61"/>
      <c r="D262" s="61"/>
      <c r="E262" s="61"/>
      <c r="F262" s="61"/>
      <c r="G262" s="61"/>
      <c r="H262" s="6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ht="13.2" x14ac:dyDescent="0.25">
      <c r="A263" s="31"/>
      <c r="B263" s="31"/>
      <c r="C263" s="61"/>
      <c r="D263" s="61"/>
      <c r="E263" s="61"/>
      <c r="F263" s="61"/>
      <c r="G263" s="61"/>
      <c r="H263" s="6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ht="13.2" x14ac:dyDescent="0.25">
      <c r="A264" s="31"/>
      <c r="B264" s="31"/>
      <c r="C264" s="61"/>
      <c r="D264" s="61"/>
      <c r="E264" s="61"/>
      <c r="F264" s="61"/>
      <c r="G264" s="61"/>
      <c r="H264" s="6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ht="13.2" x14ac:dyDescent="0.25">
      <c r="A265" s="31"/>
      <c r="B265" s="31"/>
      <c r="C265" s="61"/>
      <c r="D265" s="61"/>
      <c r="E265" s="61"/>
      <c r="F265" s="61"/>
      <c r="G265" s="61"/>
      <c r="H265" s="6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ht="13.2" x14ac:dyDescent="0.25">
      <c r="A266" s="31"/>
      <c r="B266" s="31"/>
      <c r="C266" s="61"/>
      <c r="D266" s="61"/>
      <c r="E266" s="61"/>
      <c r="F266" s="61"/>
      <c r="G266" s="61"/>
      <c r="H266" s="6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ht="13.2" x14ac:dyDescent="0.25">
      <c r="A267" s="31"/>
      <c r="B267" s="31"/>
      <c r="C267" s="61"/>
      <c r="D267" s="61"/>
      <c r="E267" s="61"/>
      <c r="F267" s="61"/>
      <c r="G267" s="61"/>
      <c r="H267" s="6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ht="13.2" x14ac:dyDescent="0.25">
      <c r="A268" s="31"/>
      <c r="B268" s="31"/>
      <c r="C268" s="61"/>
      <c r="D268" s="61"/>
      <c r="E268" s="61"/>
      <c r="F268" s="61"/>
      <c r="G268" s="61"/>
      <c r="H268" s="6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ht="13.2" x14ac:dyDescent="0.25">
      <c r="A269" s="31"/>
      <c r="B269" s="31"/>
      <c r="C269" s="61"/>
      <c r="D269" s="61"/>
      <c r="E269" s="61"/>
      <c r="F269" s="61"/>
      <c r="G269" s="61"/>
      <c r="H269" s="6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ht="13.2" x14ac:dyDescent="0.25">
      <c r="A270" s="31"/>
      <c r="B270" s="31"/>
      <c r="C270" s="61"/>
      <c r="D270" s="61"/>
      <c r="E270" s="61"/>
      <c r="F270" s="61"/>
      <c r="G270" s="61"/>
      <c r="H270" s="6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ht="13.2" x14ac:dyDescent="0.25">
      <c r="A271" s="31"/>
      <c r="B271" s="31"/>
      <c r="C271" s="61"/>
      <c r="D271" s="61"/>
      <c r="E271" s="61"/>
      <c r="F271" s="61"/>
      <c r="G271" s="61"/>
      <c r="H271" s="6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ht="13.2" x14ac:dyDescent="0.25">
      <c r="A272" s="31"/>
      <c r="B272" s="31"/>
      <c r="C272" s="61"/>
      <c r="D272" s="61"/>
      <c r="E272" s="61"/>
      <c r="F272" s="61"/>
      <c r="G272" s="61"/>
      <c r="H272" s="6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ht="13.2" x14ac:dyDescent="0.25">
      <c r="A273" s="31"/>
      <c r="B273" s="31"/>
      <c r="C273" s="61"/>
      <c r="D273" s="61"/>
      <c r="E273" s="61"/>
      <c r="F273" s="61"/>
      <c r="G273" s="61"/>
      <c r="H273" s="6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ht="13.2" x14ac:dyDescent="0.25">
      <c r="A274" s="31"/>
      <c r="B274" s="31"/>
      <c r="C274" s="61"/>
      <c r="D274" s="61"/>
      <c r="E274" s="61"/>
      <c r="F274" s="61"/>
      <c r="G274" s="61"/>
      <c r="H274" s="6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ht="13.2" x14ac:dyDescent="0.25">
      <c r="A275" s="31"/>
      <c r="B275" s="31"/>
      <c r="C275" s="61"/>
      <c r="D275" s="61"/>
      <c r="E275" s="61"/>
      <c r="F275" s="61"/>
      <c r="G275" s="61"/>
      <c r="H275" s="6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ht="13.2" x14ac:dyDescent="0.25">
      <c r="A276" s="31"/>
      <c r="B276" s="31"/>
      <c r="C276" s="61"/>
      <c r="D276" s="61"/>
      <c r="E276" s="61"/>
      <c r="F276" s="61"/>
      <c r="G276" s="61"/>
      <c r="H276" s="6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ht="13.2" x14ac:dyDescent="0.25">
      <c r="A277" s="31"/>
      <c r="B277" s="31"/>
      <c r="C277" s="61"/>
      <c r="D277" s="61"/>
      <c r="E277" s="61"/>
      <c r="F277" s="61"/>
      <c r="G277" s="61"/>
      <c r="H277" s="6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ht="13.2" x14ac:dyDescent="0.25">
      <c r="A278" s="31"/>
      <c r="B278" s="31"/>
      <c r="C278" s="61"/>
      <c r="D278" s="61"/>
      <c r="E278" s="61"/>
      <c r="F278" s="61"/>
      <c r="G278" s="61"/>
      <c r="H278" s="6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ht="13.2" x14ac:dyDescent="0.25">
      <c r="A279" s="31"/>
      <c r="B279" s="31"/>
      <c r="C279" s="61"/>
      <c r="D279" s="61"/>
      <c r="E279" s="61"/>
      <c r="F279" s="61"/>
      <c r="G279" s="61"/>
      <c r="H279" s="6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ht="13.2" x14ac:dyDescent="0.25">
      <c r="A280" s="31"/>
      <c r="B280" s="31"/>
      <c r="C280" s="61"/>
      <c r="D280" s="61"/>
      <c r="E280" s="61"/>
      <c r="F280" s="61"/>
      <c r="G280" s="61"/>
      <c r="H280" s="6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ht="13.2" x14ac:dyDescent="0.25">
      <c r="A281" s="31"/>
      <c r="B281" s="31"/>
      <c r="C281" s="61"/>
      <c r="D281" s="61"/>
      <c r="E281" s="61"/>
      <c r="F281" s="61"/>
      <c r="G281" s="61"/>
      <c r="H281" s="6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ht="13.2" x14ac:dyDescent="0.25">
      <c r="A282" s="31"/>
      <c r="B282" s="31"/>
      <c r="C282" s="61"/>
      <c r="D282" s="61"/>
      <c r="E282" s="61"/>
      <c r="F282" s="61"/>
      <c r="G282" s="61"/>
      <c r="H282" s="6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ht="13.2" x14ac:dyDescent="0.25">
      <c r="A283" s="31"/>
      <c r="B283" s="31"/>
      <c r="C283" s="61"/>
      <c r="D283" s="61"/>
      <c r="E283" s="61"/>
      <c r="F283" s="61"/>
      <c r="G283" s="61"/>
      <c r="H283" s="6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ht="13.2" x14ac:dyDescent="0.25">
      <c r="A284" s="31"/>
      <c r="B284" s="31"/>
      <c r="C284" s="61"/>
      <c r="D284" s="61"/>
      <c r="E284" s="61"/>
      <c r="F284" s="61"/>
      <c r="G284" s="61"/>
      <c r="H284" s="6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ht="13.2" x14ac:dyDescent="0.25">
      <c r="A285" s="31"/>
      <c r="B285" s="31"/>
      <c r="C285" s="61"/>
      <c r="D285" s="61"/>
      <c r="E285" s="61"/>
      <c r="F285" s="61"/>
      <c r="G285" s="61"/>
      <c r="H285" s="6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ht="13.2" x14ac:dyDescent="0.25">
      <c r="A286" s="31"/>
      <c r="B286" s="31"/>
      <c r="C286" s="61"/>
      <c r="D286" s="61"/>
      <c r="E286" s="61"/>
      <c r="F286" s="61"/>
      <c r="G286" s="61"/>
      <c r="H286" s="6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ht="13.2" x14ac:dyDescent="0.25">
      <c r="A287" s="31"/>
      <c r="B287" s="31"/>
      <c r="C287" s="61"/>
      <c r="D287" s="61"/>
      <c r="E287" s="61"/>
      <c r="F287" s="61"/>
      <c r="G287" s="61"/>
      <c r="H287" s="6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ht="13.2" x14ac:dyDescent="0.25">
      <c r="A288" s="31"/>
      <c r="B288" s="31"/>
      <c r="C288" s="61"/>
      <c r="D288" s="61"/>
      <c r="E288" s="61"/>
      <c r="F288" s="61"/>
      <c r="G288" s="61"/>
      <c r="H288" s="6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ht="13.2" x14ac:dyDescent="0.25">
      <c r="A289" s="31"/>
      <c r="B289" s="31"/>
      <c r="C289" s="61"/>
      <c r="D289" s="61"/>
      <c r="E289" s="61"/>
      <c r="F289" s="61"/>
      <c r="G289" s="61"/>
      <c r="H289" s="6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ht="13.2" x14ac:dyDescent="0.25">
      <c r="A290" s="31"/>
      <c r="B290" s="31"/>
      <c r="C290" s="61"/>
      <c r="D290" s="61"/>
      <c r="E290" s="61"/>
      <c r="F290" s="61"/>
      <c r="G290" s="61"/>
      <c r="H290" s="6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ht="13.2" x14ac:dyDescent="0.25">
      <c r="A291" s="31"/>
      <c r="B291" s="31"/>
      <c r="C291" s="61"/>
      <c r="D291" s="61"/>
      <c r="E291" s="61"/>
      <c r="F291" s="61"/>
      <c r="G291" s="61"/>
      <c r="H291" s="6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ht="13.2" x14ac:dyDescent="0.25">
      <c r="A292" s="31"/>
      <c r="B292" s="31"/>
      <c r="C292" s="61"/>
      <c r="D292" s="61"/>
      <c r="E292" s="61"/>
      <c r="F292" s="61"/>
      <c r="G292" s="61"/>
      <c r="H292" s="6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ht="13.2" x14ac:dyDescent="0.25">
      <c r="A293" s="31"/>
      <c r="B293" s="31"/>
      <c r="C293" s="61"/>
      <c r="D293" s="61"/>
      <c r="E293" s="61"/>
      <c r="F293" s="61"/>
      <c r="G293" s="61"/>
      <c r="H293" s="6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ht="13.2" x14ac:dyDescent="0.25">
      <c r="A294" s="31"/>
      <c r="B294" s="31"/>
      <c r="C294" s="61"/>
      <c r="D294" s="61"/>
      <c r="E294" s="61"/>
      <c r="F294" s="61"/>
      <c r="G294" s="61"/>
      <c r="H294" s="6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ht="13.2" x14ac:dyDescent="0.25">
      <c r="A295" s="31"/>
      <c r="B295" s="31"/>
      <c r="C295" s="61"/>
      <c r="D295" s="61"/>
      <c r="E295" s="61"/>
      <c r="F295" s="61"/>
      <c r="G295" s="61"/>
      <c r="H295" s="6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ht="13.2" x14ac:dyDescent="0.25">
      <c r="A296" s="31"/>
      <c r="B296" s="31"/>
      <c r="C296" s="61"/>
      <c r="D296" s="61"/>
      <c r="E296" s="61"/>
      <c r="F296" s="61"/>
      <c r="G296" s="61"/>
      <c r="H296" s="6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ht="13.2" x14ac:dyDescent="0.25">
      <c r="A297" s="31"/>
      <c r="B297" s="31"/>
      <c r="C297" s="61"/>
      <c r="D297" s="61"/>
      <c r="E297" s="61"/>
      <c r="F297" s="61"/>
      <c r="G297" s="61"/>
      <c r="H297" s="6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ht="13.2" x14ac:dyDescent="0.25">
      <c r="A298" s="31"/>
      <c r="B298" s="31"/>
      <c r="C298" s="61"/>
      <c r="D298" s="61"/>
      <c r="E298" s="61"/>
      <c r="F298" s="61"/>
      <c r="G298" s="61"/>
      <c r="H298" s="6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ht="13.2" x14ac:dyDescent="0.25">
      <c r="A299" s="31"/>
      <c r="B299" s="31"/>
      <c r="C299" s="61"/>
      <c r="D299" s="61"/>
      <c r="E299" s="61"/>
      <c r="F299" s="61"/>
      <c r="G299" s="61"/>
      <c r="H299" s="6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ht="13.2" x14ac:dyDescent="0.25">
      <c r="A300" s="31"/>
      <c r="B300" s="31"/>
      <c r="C300" s="61"/>
      <c r="D300" s="61"/>
      <c r="E300" s="61"/>
      <c r="F300" s="61"/>
      <c r="G300" s="61"/>
      <c r="H300" s="6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ht="13.2" x14ac:dyDescent="0.25">
      <c r="A301" s="31"/>
      <c r="B301" s="31"/>
      <c r="C301" s="61"/>
      <c r="D301" s="61"/>
      <c r="E301" s="61"/>
      <c r="F301" s="61"/>
      <c r="G301" s="61"/>
      <c r="H301" s="6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ht="13.2" x14ac:dyDescent="0.25">
      <c r="A302" s="31"/>
      <c r="B302" s="31"/>
      <c r="C302" s="61"/>
      <c r="D302" s="61"/>
      <c r="E302" s="61"/>
      <c r="F302" s="61"/>
      <c r="G302" s="61"/>
      <c r="H302" s="6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ht="13.2" x14ac:dyDescent="0.25">
      <c r="A303" s="31"/>
      <c r="B303" s="31"/>
      <c r="C303" s="61"/>
      <c r="D303" s="61"/>
      <c r="E303" s="61"/>
      <c r="F303" s="61"/>
      <c r="G303" s="61"/>
      <c r="H303" s="6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ht="13.2" x14ac:dyDescent="0.25">
      <c r="A304" s="31"/>
      <c r="B304" s="31"/>
      <c r="C304" s="61"/>
      <c r="D304" s="61"/>
      <c r="E304" s="61"/>
      <c r="F304" s="61"/>
      <c r="G304" s="61"/>
      <c r="H304" s="6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ht="13.2" x14ac:dyDescent="0.25">
      <c r="A305" s="31"/>
      <c r="B305" s="31"/>
      <c r="C305" s="61"/>
      <c r="D305" s="61"/>
      <c r="E305" s="61"/>
      <c r="F305" s="61"/>
      <c r="G305" s="61"/>
      <c r="H305" s="6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ht="13.2" x14ac:dyDescent="0.25">
      <c r="A306" s="31"/>
      <c r="B306" s="31"/>
      <c r="C306" s="61"/>
      <c r="D306" s="61"/>
      <c r="E306" s="61"/>
      <c r="F306" s="61"/>
      <c r="G306" s="61"/>
      <c r="H306" s="6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ht="13.2" x14ac:dyDescent="0.25">
      <c r="A307" s="31"/>
      <c r="B307" s="31"/>
      <c r="C307" s="61"/>
      <c r="D307" s="61"/>
      <c r="E307" s="61"/>
      <c r="F307" s="61"/>
      <c r="G307" s="61"/>
      <c r="H307" s="6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ht="13.2" x14ac:dyDescent="0.25">
      <c r="A308" s="31"/>
      <c r="B308" s="31"/>
      <c r="C308" s="61"/>
      <c r="D308" s="61"/>
      <c r="E308" s="61"/>
      <c r="F308" s="61"/>
      <c r="G308" s="61"/>
      <c r="H308" s="6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13.2" x14ac:dyDescent="0.25">
      <c r="A309" s="31"/>
      <c r="B309" s="31"/>
      <c r="C309" s="61"/>
      <c r="D309" s="61"/>
      <c r="E309" s="61"/>
      <c r="F309" s="61"/>
      <c r="G309" s="61"/>
      <c r="H309" s="6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ht="13.2" x14ac:dyDescent="0.25">
      <c r="A310" s="31"/>
      <c r="B310" s="31"/>
      <c r="C310" s="61"/>
      <c r="D310" s="61"/>
      <c r="E310" s="61"/>
      <c r="F310" s="61"/>
      <c r="G310" s="61"/>
      <c r="H310" s="6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ht="13.2" x14ac:dyDescent="0.25">
      <c r="A311" s="31"/>
      <c r="B311" s="31"/>
      <c r="C311" s="61"/>
      <c r="D311" s="61"/>
      <c r="E311" s="61"/>
      <c r="F311" s="61"/>
      <c r="G311" s="61"/>
      <c r="H311" s="6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ht="13.2" x14ac:dyDescent="0.25">
      <c r="A312" s="31"/>
      <c r="B312" s="31"/>
      <c r="C312" s="61"/>
      <c r="D312" s="61"/>
      <c r="E312" s="61"/>
      <c r="F312" s="61"/>
      <c r="G312" s="61"/>
      <c r="H312" s="6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ht="13.2" x14ac:dyDescent="0.25">
      <c r="A313" s="31"/>
      <c r="B313" s="31"/>
      <c r="C313" s="61"/>
      <c r="D313" s="61"/>
      <c r="E313" s="61"/>
      <c r="F313" s="61"/>
      <c r="G313" s="61"/>
      <c r="H313" s="6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ht="13.2" x14ac:dyDescent="0.25">
      <c r="A314" s="31"/>
      <c r="B314" s="31"/>
      <c r="C314" s="61"/>
      <c r="D314" s="61"/>
      <c r="E314" s="61"/>
      <c r="F314" s="61"/>
      <c r="G314" s="61"/>
      <c r="H314" s="6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ht="13.2" x14ac:dyDescent="0.25">
      <c r="A315" s="31"/>
      <c r="B315" s="31"/>
      <c r="C315" s="61"/>
      <c r="D315" s="61"/>
      <c r="E315" s="61"/>
      <c r="F315" s="61"/>
      <c r="G315" s="61"/>
      <c r="H315" s="6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ht="13.2" x14ac:dyDescent="0.25">
      <c r="A316" s="31"/>
      <c r="B316" s="31"/>
      <c r="C316" s="61"/>
      <c r="D316" s="61"/>
      <c r="E316" s="61"/>
      <c r="F316" s="61"/>
      <c r="G316" s="61"/>
      <c r="H316" s="6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ht="13.2" x14ac:dyDescent="0.25">
      <c r="A317" s="31"/>
      <c r="B317" s="31"/>
      <c r="C317" s="61"/>
      <c r="D317" s="61"/>
      <c r="E317" s="61"/>
      <c r="F317" s="61"/>
      <c r="G317" s="61"/>
      <c r="H317" s="6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ht="13.2" x14ac:dyDescent="0.25">
      <c r="A318" s="31"/>
      <c r="B318" s="31"/>
      <c r="C318" s="61"/>
      <c r="D318" s="61"/>
      <c r="E318" s="61"/>
      <c r="F318" s="61"/>
      <c r="G318" s="61"/>
      <c r="H318" s="6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ht="13.2" x14ac:dyDescent="0.25">
      <c r="A319" s="31"/>
      <c r="B319" s="31"/>
      <c r="C319" s="61"/>
      <c r="D319" s="61"/>
      <c r="E319" s="61"/>
      <c r="F319" s="61"/>
      <c r="G319" s="61"/>
      <c r="H319" s="6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ht="13.2" x14ac:dyDescent="0.25">
      <c r="A320" s="31"/>
      <c r="B320" s="31"/>
      <c r="C320" s="61"/>
      <c r="D320" s="61"/>
      <c r="E320" s="61"/>
      <c r="F320" s="61"/>
      <c r="G320" s="61"/>
      <c r="H320" s="6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ht="13.2" x14ac:dyDescent="0.25">
      <c r="A321" s="31"/>
      <c r="B321" s="31"/>
      <c r="C321" s="61"/>
      <c r="D321" s="61"/>
      <c r="E321" s="61"/>
      <c r="F321" s="61"/>
      <c r="G321" s="61"/>
      <c r="H321" s="6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ht="13.2" x14ac:dyDescent="0.25">
      <c r="A322" s="31"/>
      <c r="B322" s="31"/>
      <c r="C322" s="61"/>
      <c r="D322" s="61"/>
      <c r="E322" s="61"/>
      <c r="F322" s="61"/>
      <c r="G322" s="61"/>
      <c r="H322" s="6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ht="13.2" x14ac:dyDescent="0.25">
      <c r="A323" s="31"/>
      <c r="B323" s="31"/>
      <c r="C323" s="61"/>
      <c r="D323" s="61"/>
      <c r="E323" s="61"/>
      <c r="F323" s="61"/>
      <c r="G323" s="61"/>
      <c r="H323" s="6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ht="13.2" x14ac:dyDescent="0.25">
      <c r="A324" s="31"/>
      <c r="B324" s="31"/>
      <c r="C324" s="61"/>
      <c r="D324" s="61"/>
      <c r="E324" s="61"/>
      <c r="F324" s="61"/>
      <c r="G324" s="61"/>
      <c r="H324" s="6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ht="13.2" x14ac:dyDescent="0.25">
      <c r="A325" s="31"/>
      <c r="B325" s="31"/>
      <c r="C325" s="61"/>
      <c r="D325" s="61"/>
      <c r="E325" s="61"/>
      <c r="F325" s="61"/>
      <c r="G325" s="61"/>
      <c r="H325" s="6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ht="13.2" x14ac:dyDescent="0.25">
      <c r="A326" s="31"/>
      <c r="B326" s="31"/>
      <c r="C326" s="61"/>
      <c r="D326" s="61"/>
      <c r="E326" s="61"/>
      <c r="F326" s="61"/>
      <c r="G326" s="61"/>
      <c r="H326" s="6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ht="13.2" x14ac:dyDescent="0.25">
      <c r="A327" s="31"/>
      <c r="B327" s="31"/>
      <c r="C327" s="61"/>
      <c r="D327" s="61"/>
      <c r="E327" s="61"/>
      <c r="F327" s="61"/>
      <c r="G327" s="61"/>
      <c r="H327" s="6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ht="13.2" x14ac:dyDescent="0.25">
      <c r="A328" s="31"/>
      <c r="B328" s="31"/>
      <c r="C328" s="61"/>
      <c r="D328" s="61"/>
      <c r="E328" s="61"/>
      <c r="F328" s="61"/>
      <c r="G328" s="61"/>
      <c r="H328" s="6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ht="13.2" x14ac:dyDescent="0.25">
      <c r="A329" s="31"/>
      <c r="B329" s="31"/>
      <c r="C329" s="61"/>
      <c r="D329" s="61"/>
      <c r="E329" s="61"/>
      <c r="F329" s="61"/>
      <c r="G329" s="61"/>
      <c r="H329" s="6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ht="13.2" x14ac:dyDescent="0.25">
      <c r="A330" s="31"/>
      <c r="B330" s="31"/>
      <c r="C330" s="61"/>
      <c r="D330" s="61"/>
      <c r="E330" s="61"/>
      <c r="F330" s="61"/>
      <c r="G330" s="61"/>
      <c r="H330" s="6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ht="13.2" x14ac:dyDescent="0.25">
      <c r="A331" s="31"/>
      <c r="B331" s="31"/>
      <c r="C331" s="61"/>
      <c r="D331" s="61"/>
      <c r="E331" s="61"/>
      <c r="F331" s="61"/>
      <c r="G331" s="61"/>
      <c r="H331" s="6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ht="13.2" x14ac:dyDescent="0.25">
      <c r="A332" s="31"/>
      <c r="B332" s="31"/>
      <c r="C332" s="61"/>
      <c r="D332" s="61"/>
      <c r="E332" s="61"/>
      <c r="F332" s="61"/>
      <c r="G332" s="61"/>
      <c r="H332" s="6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ht="13.2" x14ac:dyDescent="0.25">
      <c r="A333" s="31"/>
      <c r="B333" s="31"/>
      <c r="C333" s="61"/>
      <c r="D333" s="61"/>
      <c r="E333" s="61"/>
      <c r="F333" s="61"/>
      <c r="G333" s="61"/>
      <c r="H333" s="6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ht="13.2" x14ac:dyDescent="0.25">
      <c r="A334" s="31"/>
      <c r="B334" s="31"/>
      <c r="C334" s="61"/>
      <c r="D334" s="61"/>
      <c r="E334" s="61"/>
      <c r="F334" s="61"/>
      <c r="G334" s="61"/>
      <c r="H334" s="6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ht="13.2" x14ac:dyDescent="0.25">
      <c r="A335" s="31"/>
      <c r="B335" s="31"/>
      <c r="C335" s="61"/>
      <c r="D335" s="61"/>
      <c r="E335" s="61"/>
      <c r="F335" s="61"/>
      <c r="G335" s="61"/>
      <c r="H335" s="6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ht="13.2" x14ac:dyDescent="0.25">
      <c r="A336" s="31"/>
      <c r="B336" s="31"/>
      <c r="C336" s="61"/>
      <c r="D336" s="61"/>
      <c r="E336" s="61"/>
      <c r="F336" s="61"/>
      <c r="G336" s="61"/>
      <c r="H336" s="6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ht="13.2" x14ac:dyDescent="0.25">
      <c r="A337" s="31"/>
      <c r="B337" s="31"/>
      <c r="C337" s="61"/>
      <c r="D337" s="61"/>
      <c r="E337" s="61"/>
      <c r="F337" s="61"/>
      <c r="G337" s="61"/>
      <c r="H337" s="6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ht="13.2" x14ac:dyDescent="0.25">
      <c r="A338" s="31"/>
      <c r="B338" s="31"/>
      <c r="C338" s="61"/>
      <c r="D338" s="61"/>
      <c r="E338" s="61"/>
      <c r="F338" s="61"/>
      <c r="G338" s="61"/>
      <c r="H338" s="6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ht="13.2" x14ac:dyDescent="0.25">
      <c r="A339" s="31"/>
      <c r="B339" s="31"/>
      <c r="C339" s="61"/>
      <c r="D339" s="61"/>
      <c r="E339" s="61"/>
      <c r="F339" s="61"/>
      <c r="G339" s="61"/>
      <c r="H339" s="6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ht="13.2" x14ac:dyDescent="0.25">
      <c r="A340" s="31"/>
      <c r="B340" s="31"/>
      <c r="C340" s="61"/>
      <c r="D340" s="61"/>
      <c r="E340" s="61"/>
      <c r="F340" s="61"/>
      <c r="G340" s="61"/>
      <c r="H340" s="6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ht="13.2" x14ac:dyDescent="0.25">
      <c r="A341" s="31"/>
      <c r="B341" s="31"/>
      <c r="C341" s="61"/>
      <c r="D341" s="61"/>
      <c r="E341" s="61"/>
      <c r="F341" s="61"/>
      <c r="G341" s="61"/>
      <c r="H341" s="6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ht="13.2" x14ac:dyDescent="0.25">
      <c r="A342" s="31"/>
      <c r="B342" s="31"/>
      <c r="C342" s="61"/>
      <c r="D342" s="61"/>
      <c r="E342" s="61"/>
      <c r="F342" s="61"/>
      <c r="G342" s="61"/>
      <c r="H342" s="6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ht="13.2" x14ac:dyDescent="0.25">
      <c r="A343" s="31"/>
      <c r="B343" s="31"/>
      <c r="C343" s="61"/>
      <c r="D343" s="61"/>
      <c r="E343" s="61"/>
      <c r="F343" s="61"/>
      <c r="G343" s="61"/>
      <c r="H343" s="6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ht="13.2" x14ac:dyDescent="0.25">
      <c r="A344" s="31"/>
      <c r="B344" s="31"/>
      <c r="C344" s="61"/>
      <c r="D344" s="61"/>
      <c r="E344" s="61"/>
      <c r="F344" s="61"/>
      <c r="G344" s="61"/>
      <c r="H344" s="6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ht="13.2" x14ac:dyDescent="0.25">
      <c r="A345" s="31"/>
      <c r="B345" s="31"/>
      <c r="C345" s="61"/>
      <c r="D345" s="61"/>
      <c r="E345" s="61"/>
      <c r="F345" s="61"/>
      <c r="G345" s="61"/>
      <c r="H345" s="6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ht="13.2" x14ac:dyDescent="0.25">
      <c r="A346" s="31"/>
      <c r="B346" s="31"/>
      <c r="C346" s="61"/>
      <c r="D346" s="61"/>
      <c r="E346" s="61"/>
      <c r="F346" s="61"/>
      <c r="G346" s="61"/>
      <c r="H346" s="6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ht="13.2" x14ac:dyDescent="0.25">
      <c r="A347" s="31"/>
      <c r="B347" s="31"/>
      <c r="C347" s="61"/>
      <c r="D347" s="61"/>
      <c r="E347" s="61"/>
      <c r="F347" s="61"/>
      <c r="G347" s="61"/>
      <c r="H347" s="6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ht="13.2" x14ac:dyDescent="0.25">
      <c r="A348" s="31"/>
      <c r="B348" s="31"/>
      <c r="C348" s="61"/>
      <c r="D348" s="61"/>
      <c r="E348" s="61"/>
      <c r="F348" s="61"/>
      <c r="G348" s="61"/>
      <c r="H348" s="6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ht="13.2" x14ac:dyDescent="0.25">
      <c r="A349" s="31"/>
      <c r="B349" s="31"/>
      <c r="C349" s="61"/>
      <c r="D349" s="61"/>
      <c r="E349" s="61"/>
      <c r="F349" s="61"/>
      <c r="G349" s="61"/>
      <c r="H349" s="6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ht="13.2" x14ac:dyDescent="0.25">
      <c r="A350" s="31"/>
      <c r="B350" s="31"/>
      <c r="C350" s="61"/>
      <c r="D350" s="61"/>
      <c r="E350" s="61"/>
      <c r="F350" s="61"/>
      <c r="G350" s="61"/>
      <c r="H350" s="6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ht="13.2" x14ac:dyDescent="0.25">
      <c r="A351" s="31"/>
      <c r="B351" s="31"/>
      <c r="C351" s="61"/>
      <c r="D351" s="61"/>
      <c r="E351" s="61"/>
      <c r="F351" s="61"/>
      <c r="G351" s="61"/>
      <c r="H351" s="6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ht="13.2" x14ac:dyDescent="0.25">
      <c r="A352" s="31"/>
      <c r="B352" s="31"/>
      <c r="C352" s="61"/>
      <c r="D352" s="61"/>
      <c r="E352" s="61"/>
      <c r="F352" s="61"/>
      <c r="G352" s="61"/>
      <c r="H352" s="6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ht="13.2" x14ac:dyDescent="0.25">
      <c r="A353" s="31"/>
      <c r="B353" s="31"/>
      <c r="C353" s="61"/>
      <c r="D353" s="61"/>
      <c r="E353" s="61"/>
      <c r="F353" s="61"/>
      <c r="G353" s="61"/>
      <c r="H353" s="6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ht="13.2" x14ac:dyDescent="0.25">
      <c r="A354" s="31"/>
      <c r="B354" s="31"/>
      <c r="C354" s="61"/>
      <c r="D354" s="61"/>
      <c r="E354" s="61"/>
      <c r="F354" s="61"/>
      <c r="G354" s="61"/>
      <c r="H354" s="6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ht="13.2" x14ac:dyDescent="0.25">
      <c r="A355" s="31"/>
      <c r="B355" s="31"/>
      <c r="C355" s="61"/>
      <c r="D355" s="61"/>
      <c r="E355" s="61"/>
      <c r="F355" s="61"/>
      <c r="G355" s="61"/>
      <c r="H355" s="6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ht="13.2" x14ac:dyDescent="0.25">
      <c r="A356" s="31"/>
      <c r="B356" s="31"/>
      <c r="C356" s="61"/>
      <c r="D356" s="61"/>
      <c r="E356" s="61"/>
      <c r="F356" s="61"/>
      <c r="G356" s="61"/>
      <c r="H356" s="6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ht="13.2" x14ac:dyDescent="0.25">
      <c r="A357" s="31"/>
      <c r="B357" s="31"/>
      <c r="C357" s="61"/>
      <c r="D357" s="61"/>
      <c r="E357" s="61"/>
      <c r="F357" s="61"/>
      <c r="G357" s="61"/>
      <c r="H357" s="6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ht="13.2" x14ac:dyDescent="0.25">
      <c r="A358" s="31"/>
      <c r="B358" s="31"/>
      <c r="C358" s="61"/>
      <c r="D358" s="61"/>
      <c r="E358" s="61"/>
      <c r="F358" s="61"/>
      <c r="G358" s="61"/>
      <c r="H358" s="6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ht="13.2" x14ac:dyDescent="0.25">
      <c r="A359" s="31"/>
      <c r="B359" s="31"/>
      <c r="C359" s="61"/>
      <c r="D359" s="61"/>
      <c r="E359" s="61"/>
      <c r="F359" s="61"/>
      <c r="G359" s="61"/>
      <c r="H359" s="6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ht="13.2" x14ac:dyDescent="0.25">
      <c r="A360" s="31"/>
      <c r="B360" s="31"/>
      <c r="C360" s="61"/>
      <c r="D360" s="61"/>
      <c r="E360" s="61"/>
      <c r="F360" s="61"/>
      <c r="G360" s="61"/>
      <c r="H360" s="6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ht="13.2" x14ac:dyDescent="0.25">
      <c r="A361" s="31"/>
      <c r="B361" s="31"/>
      <c r="C361" s="61"/>
      <c r="D361" s="61"/>
      <c r="E361" s="61"/>
      <c r="F361" s="61"/>
      <c r="G361" s="61"/>
      <c r="H361" s="6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ht="13.2" x14ac:dyDescent="0.25">
      <c r="A362" s="31"/>
      <c r="B362" s="31"/>
      <c r="C362" s="61"/>
      <c r="D362" s="61"/>
      <c r="E362" s="61"/>
      <c r="F362" s="61"/>
      <c r="G362" s="61"/>
      <c r="H362" s="6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ht="13.2" x14ac:dyDescent="0.25">
      <c r="A363" s="31"/>
      <c r="B363" s="31"/>
      <c r="C363" s="61"/>
      <c r="D363" s="61"/>
      <c r="E363" s="61"/>
      <c r="F363" s="61"/>
      <c r="G363" s="61"/>
      <c r="H363" s="6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ht="13.2" x14ac:dyDescent="0.25">
      <c r="A364" s="31"/>
      <c r="B364" s="31"/>
      <c r="C364" s="61"/>
      <c r="D364" s="61"/>
      <c r="E364" s="61"/>
      <c r="F364" s="61"/>
      <c r="G364" s="61"/>
      <c r="H364" s="6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ht="13.2" x14ac:dyDescent="0.25">
      <c r="A365" s="31"/>
      <c r="B365" s="31"/>
      <c r="C365" s="61"/>
      <c r="D365" s="61"/>
      <c r="E365" s="61"/>
      <c r="F365" s="61"/>
      <c r="G365" s="61"/>
      <c r="H365" s="6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ht="13.2" x14ac:dyDescent="0.25">
      <c r="A366" s="31"/>
      <c r="B366" s="31"/>
      <c r="C366" s="61"/>
      <c r="D366" s="61"/>
      <c r="E366" s="61"/>
      <c r="F366" s="61"/>
      <c r="G366" s="61"/>
      <c r="H366" s="6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ht="13.2" x14ac:dyDescent="0.25">
      <c r="A367" s="31"/>
      <c r="B367" s="31"/>
      <c r="C367" s="61"/>
      <c r="D367" s="61"/>
      <c r="E367" s="61"/>
      <c r="F367" s="61"/>
      <c r="G367" s="61"/>
      <c r="H367" s="6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ht="13.2" x14ac:dyDescent="0.25">
      <c r="A368" s="31"/>
      <c r="B368" s="31"/>
      <c r="C368" s="61"/>
      <c r="D368" s="61"/>
      <c r="E368" s="61"/>
      <c r="F368" s="61"/>
      <c r="G368" s="61"/>
      <c r="H368" s="6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ht="13.2" x14ac:dyDescent="0.25">
      <c r="A369" s="31"/>
      <c r="B369" s="31"/>
      <c r="C369" s="61"/>
      <c r="D369" s="61"/>
      <c r="E369" s="61"/>
      <c r="F369" s="61"/>
      <c r="G369" s="61"/>
      <c r="H369" s="6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ht="13.2" x14ac:dyDescent="0.25">
      <c r="A370" s="31"/>
      <c r="B370" s="31"/>
      <c r="C370" s="61"/>
      <c r="D370" s="61"/>
      <c r="E370" s="61"/>
      <c r="F370" s="61"/>
      <c r="G370" s="61"/>
      <c r="H370" s="6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ht="13.2" x14ac:dyDescent="0.25">
      <c r="A371" s="31"/>
      <c r="B371" s="31"/>
      <c r="C371" s="61"/>
      <c r="D371" s="61"/>
      <c r="E371" s="61"/>
      <c r="F371" s="61"/>
      <c r="G371" s="61"/>
      <c r="H371" s="6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ht="13.2" x14ac:dyDescent="0.25">
      <c r="A372" s="31"/>
      <c r="B372" s="31"/>
      <c r="C372" s="61"/>
      <c r="D372" s="61"/>
      <c r="E372" s="61"/>
      <c r="F372" s="61"/>
      <c r="G372" s="61"/>
      <c r="H372" s="6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ht="13.2" x14ac:dyDescent="0.25">
      <c r="A373" s="31"/>
      <c r="B373" s="31"/>
      <c r="C373" s="61"/>
      <c r="D373" s="61"/>
      <c r="E373" s="61"/>
      <c r="F373" s="61"/>
      <c r="G373" s="61"/>
      <c r="H373" s="6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ht="13.2" x14ac:dyDescent="0.25">
      <c r="A374" s="31"/>
      <c r="B374" s="31"/>
      <c r="C374" s="61"/>
      <c r="D374" s="61"/>
      <c r="E374" s="61"/>
      <c r="F374" s="61"/>
      <c r="G374" s="61"/>
      <c r="H374" s="6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ht="13.2" x14ac:dyDescent="0.25">
      <c r="A375" s="31"/>
      <c r="B375" s="31"/>
      <c r="C375" s="61"/>
      <c r="D375" s="61"/>
      <c r="E375" s="61"/>
      <c r="F375" s="61"/>
      <c r="G375" s="61"/>
      <c r="H375" s="6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ht="13.2" x14ac:dyDescent="0.25">
      <c r="A376" s="31"/>
      <c r="B376" s="31"/>
      <c r="C376" s="61"/>
      <c r="D376" s="61"/>
      <c r="E376" s="61"/>
      <c r="F376" s="61"/>
      <c r="G376" s="61"/>
      <c r="H376" s="6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ht="13.2" x14ac:dyDescent="0.25">
      <c r="A377" s="31"/>
      <c r="B377" s="31"/>
      <c r="C377" s="61"/>
      <c r="D377" s="61"/>
      <c r="E377" s="61"/>
      <c r="F377" s="61"/>
      <c r="G377" s="61"/>
      <c r="H377" s="6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ht="13.2" x14ac:dyDescent="0.25">
      <c r="A378" s="31"/>
      <c r="B378" s="31"/>
      <c r="C378" s="61"/>
      <c r="D378" s="61"/>
      <c r="E378" s="61"/>
      <c r="F378" s="61"/>
      <c r="G378" s="61"/>
      <c r="H378" s="6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ht="13.2" x14ac:dyDescent="0.25">
      <c r="A379" s="31"/>
      <c r="B379" s="31"/>
      <c r="C379" s="61"/>
      <c r="D379" s="61"/>
      <c r="E379" s="61"/>
      <c r="F379" s="61"/>
      <c r="G379" s="61"/>
      <c r="H379" s="6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ht="13.2" x14ac:dyDescent="0.25">
      <c r="A380" s="31"/>
      <c r="B380" s="31"/>
      <c r="C380" s="61"/>
      <c r="D380" s="61"/>
      <c r="E380" s="61"/>
      <c r="F380" s="61"/>
      <c r="G380" s="61"/>
      <c r="H380" s="6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ht="13.2" x14ac:dyDescent="0.25">
      <c r="A381" s="31"/>
      <c r="B381" s="31"/>
      <c r="C381" s="61"/>
      <c r="D381" s="61"/>
      <c r="E381" s="61"/>
      <c r="F381" s="61"/>
      <c r="G381" s="61"/>
      <c r="H381" s="6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ht="13.2" x14ac:dyDescent="0.25">
      <c r="A382" s="31"/>
      <c r="B382" s="31"/>
      <c r="C382" s="61"/>
      <c r="D382" s="61"/>
      <c r="E382" s="61"/>
      <c r="F382" s="61"/>
      <c r="G382" s="61"/>
      <c r="H382" s="6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ht="13.2" x14ac:dyDescent="0.25">
      <c r="A383" s="31"/>
      <c r="B383" s="31"/>
      <c r="C383" s="61"/>
      <c r="D383" s="61"/>
      <c r="E383" s="61"/>
      <c r="F383" s="61"/>
      <c r="G383" s="61"/>
      <c r="H383" s="6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ht="13.2" x14ac:dyDescent="0.25">
      <c r="A384" s="31"/>
      <c r="B384" s="31"/>
      <c r="C384" s="61"/>
      <c r="D384" s="61"/>
      <c r="E384" s="61"/>
      <c r="F384" s="61"/>
      <c r="G384" s="61"/>
      <c r="H384" s="6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ht="13.2" x14ac:dyDescent="0.25">
      <c r="A385" s="31"/>
      <c r="B385" s="31"/>
      <c r="C385" s="61"/>
      <c r="D385" s="61"/>
      <c r="E385" s="61"/>
      <c r="F385" s="61"/>
      <c r="G385" s="61"/>
      <c r="H385" s="6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ht="13.2" x14ac:dyDescent="0.25">
      <c r="A386" s="31"/>
      <c r="B386" s="31"/>
      <c r="C386" s="61"/>
      <c r="D386" s="61"/>
      <c r="E386" s="61"/>
      <c r="F386" s="61"/>
      <c r="G386" s="61"/>
      <c r="H386" s="6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ht="13.2" x14ac:dyDescent="0.25">
      <c r="A387" s="31"/>
      <c r="B387" s="31"/>
      <c r="C387" s="61"/>
      <c r="D387" s="61"/>
      <c r="E387" s="61"/>
      <c r="F387" s="61"/>
      <c r="G387" s="61"/>
      <c r="H387" s="6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ht="13.2" x14ac:dyDescent="0.25">
      <c r="A388" s="31"/>
      <c r="B388" s="31"/>
      <c r="C388" s="61"/>
      <c r="D388" s="61"/>
      <c r="E388" s="61"/>
      <c r="F388" s="61"/>
      <c r="G388" s="61"/>
      <c r="H388" s="6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ht="13.2" x14ac:dyDescent="0.25">
      <c r="A389" s="31"/>
      <c r="B389" s="31"/>
      <c r="C389" s="61"/>
      <c r="D389" s="61"/>
      <c r="E389" s="61"/>
      <c r="F389" s="61"/>
      <c r="G389" s="61"/>
      <c r="H389" s="6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ht="13.2" x14ac:dyDescent="0.25">
      <c r="A390" s="31"/>
      <c r="B390" s="31"/>
      <c r="C390" s="61"/>
      <c r="D390" s="61"/>
      <c r="E390" s="61"/>
      <c r="F390" s="61"/>
      <c r="G390" s="61"/>
      <c r="H390" s="6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ht="13.2" x14ac:dyDescent="0.25">
      <c r="A391" s="31"/>
      <c r="B391" s="31"/>
      <c r="C391" s="61"/>
      <c r="D391" s="61"/>
      <c r="E391" s="61"/>
      <c r="F391" s="61"/>
      <c r="G391" s="61"/>
      <c r="H391" s="6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ht="13.2" x14ac:dyDescent="0.25">
      <c r="A392" s="31"/>
      <c r="B392" s="31"/>
      <c r="C392" s="61"/>
      <c r="D392" s="61"/>
      <c r="E392" s="61"/>
      <c r="F392" s="61"/>
      <c r="G392" s="61"/>
      <c r="H392" s="6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ht="13.2" x14ac:dyDescent="0.25">
      <c r="A393" s="31"/>
      <c r="B393" s="31"/>
      <c r="C393" s="61"/>
      <c r="D393" s="61"/>
      <c r="E393" s="61"/>
      <c r="F393" s="61"/>
      <c r="G393" s="61"/>
      <c r="H393" s="6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ht="13.2" x14ac:dyDescent="0.25">
      <c r="A394" s="31"/>
      <c r="B394" s="31"/>
      <c r="C394" s="61"/>
      <c r="D394" s="61"/>
      <c r="E394" s="61"/>
      <c r="F394" s="61"/>
      <c r="G394" s="61"/>
      <c r="H394" s="6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ht="13.2" x14ac:dyDescent="0.25">
      <c r="A395" s="31"/>
      <c r="B395" s="31"/>
      <c r="C395" s="61"/>
      <c r="D395" s="61"/>
      <c r="E395" s="61"/>
      <c r="F395" s="61"/>
      <c r="G395" s="61"/>
      <c r="H395" s="6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ht="13.2" x14ac:dyDescent="0.25">
      <c r="A396" s="31"/>
      <c r="B396" s="31"/>
      <c r="C396" s="61"/>
      <c r="D396" s="61"/>
      <c r="E396" s="61"/>
      <c r="F396" s="61"/>
      <c r="G396" s="61"/>
      <c r="H396" s="6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ht="13.2" x14ac:dyDescent="0.25">
      <c r="A397" s="31"/>
      <c r="B397" s="31"/>
      <c r="C397" s="61"/>
      <c r="D397" s="61"/>
      <c r="E397" s="61"/>
      <c r="F397" s="61"/>
      <c r="G397" s="61"/>
      <c r="H397" s="6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ht="13.2" x14ac:dyDescent="0.25">
      <c r="A398" s="31"/>
      <c r="B398" s="31"/>
      <c r="C398" s="61"/>
      <c r="D398" s="61"/>
      <c r="E398" s="61"/>
      <c r="F398" s="61"/>
      <c r="G398" s="61"/>
      <c r="H398" s="6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ht="13.2" x14ac:dyDescent="0.25">
      <c r="A399" s="31"/>
      <c r="B399" s="31"/>
      <c r="C399" s="61"/>
      <c r="D399" s="61"/>
      <c r="E399" s="61"/>
      <c r="F399" s="61"/>
      <c r="G399" s="61"/>
      <c r="H399" s="6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ht="13.2" x14ac:dyDescent="0.25">
      <c r="A400" s="31"/>
      <c r="B400" s="31"/>
      <c r="C400" s="61"/>
      <c r="D400" s="61"/>
      <c r="E400" s="61"/>
      <c r="F400" s="61"/>
      <c r="G400" s="61"/>
      <c r="H400" s="6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ht="13.2" x14ac:dyDescent="0.25">
      <c r="A401" s="31"/>
      <c r="B401" s="31"/>
      <c r="C401" s="61"/>
      <c r="D401" s="61"/>
      <c r="E401" s="61"/>
      <c r="F401" s="61"/>
      <c r="G401" s="61"/>
      <c r="H401" s="6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ht="13.2" x14ac:dyDescent="0.25">
      <c r="A402" s="31"/>
      <c r="B402" s="31"/>
      <c r="C402" s="61"/>
      <c r="D402" s="61"/>
      <c r="E402" s="61"/>
      <c r="F402" s="61"/>
      <c r="G402" s="61"/>
      <c r="H402" s="6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ht="13.2" x14ac:dyDescent="0.25">
      <c r="A403" s="31"/>
      <c r="B403" s="31"/>
      <c r="C403" s="61"/>
      <c r="D403" s="61"/>
      <c r="E403" s="61"/>
      <c r="F403" s="61"/>
      <c r="G403" s="61"/>
      <c r="H403" s="6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ht="13.2" x14ac:dyDescent="0.25">
      <c r="A404" s="31"/>
      <c r="B404" s="31"/>
      <c r="C404" s="61"/>
      <c r="D404" s="61"/>
      <c r="E404" s="61"/>
      <c r="F404" s="61"/>
      <c r="G404" s="61"/>
      <c r="H404" s="6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ht="13.2" x14ac:dyDescent="0.25">
      <c r="A405" s="31"/>
      <c r="B405" s="31"/>
      <c r="C405" s="61"/>
      <c r="D405" s="61"/>
      <c r="E405" s="61"/>
      <c r="F405" s="61"/>
      <c r="G405" s="61"/>
      <c r="H405" s="6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ht="13.2" x14ac:dyDescent="0.25">
      <c r="A406" s="31"/>
      <c r="B406" s="31"/>
      <c r="C406" s="61"/>
      <c r="D406" s="61"/>
      <c r="E406" s="61"/>
      <c r="F406" s="61"/>
      <c r="G406" s="61"/>
      <c r="H406" s="6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ht="13.2" x14ac:dyDescent="0.25">
      <c r="A407" s="31"/>
      <c r="B407" s="31"/>
      <c r="C407" s="61"/>
      <c r="D407" s="61"/>
      <c r="E407" s="61"/>
      <c r="F407" s="61"/>
      <c r="G407" s="61"/>
      <c r="H407" s="6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ht="13.2" x14ac:dyDescent="0.25">
      <c r="A408" s="31"/>
      <c r="B408" s="31"/>
      <c r="C408" s="61"/>
      <c r="D408" s="61"/>
      <c r="E408" s="61"/>
      <c r="F408" s="61"/>
      <c r="G408" s="61"/>
      <c r="H408" s="6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ht="13.2" x14ac:dyDescent="0.25">
      <c r="A409" s="31"/>
      <c r="B409" s="31"/>
      <c r="C409" s="61"/>
      <c r="D409" s="61"/>
      <c r="E409" s="61"/>
      <c r="F409" s="61"/>
      <c r="G409" s="61"/>
      <c r="H409" s="6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ht="13.2" x14ac:dyDescent="0.25">
      <c r="A410" s="31"/>
      <c r="B410" s="31"/>
      <c r="C410" s="61"/>
      <c r="D410" s="61"/>
      <c r="E410" s="61"/>
      <c r="F410" s="61"/>
      <c r="G410" s="61"/>
      <c r="H410" s="6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ht="13.2" x14ac:dyDescent="0.25">
      <c r="A411" s="31"/>
      <c r="B411" s="31"/>
      <c r="C411" s="61"/>
      <c r="D411" s="61"/>
      <c r="E411" s="61"/>
      <c r="F411" s="61"/>
      <c r="G411" s="61"/>
      <c r="H411" s="6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ht="13.2" x14ac:dyDescent="0.25">
      <c r="A412" s="31"/>
      <c r="B412" s="31"/>
      <c r="C412" s="61"/>
      <c r="D412" s="61"/>
      <c r="E412" s="61"/>
      <c r="F412" s="61"/>
      <c r="G412" s="61"/>
      <c r="H412" s="6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ht="13.2" x14ac:dyDescent="0.25">
      <c r="A413" s="31"/>
      <c r="B413" s="31"/>
      <c r="C413" s="61"/>
      <c r="D413" s="61"/>
      <c r="E413" s="61"/>
      <c r="F413" s="61"/>
      <c r="G413" s="61"/>
      <c r="H413" s="6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ht="13.2" x14ac:dyDescent="0.25">
      <c r="A414" s="31"/>
      <c r="B414" s="31"/>
      <c r="C414" s="61"/>
      <c r="D414" s="61"/>
      <c r="E414" s="61"/>
      <c r="F414" s="61"/>
      <c r="G414" s="61"/>
      <c r="H414" s="6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ht="13.2" x14ac:dyDescent="0.25">
      <c r="A415" s="31"/>
      <c r="B415" s="31"/>
      <c r="C415" s="61"/>
      <c r="D415" s="61"/>
      <c r="E415" s="61"/>
      <c r="F415" s="61"/>
      <c r="G415" s="61"/>
      <c r="H415" s="6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ht="13.2" x14ac:dyDescent="0.25">
      <c r="A416" s="31"/>
      <c r="B416" s="31"/>
      <c r="C416" s="61"/>
      <c r="D416" s="61"/>
      <c r="E416" s="61"/>
      <c r="F416" s="61"/>
      <c r="G416" s="61"/>
      <c r="H416" s="6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ht="13.2" x14ac:dyDescent="0.25">
      <c r="A417" s="31"/>
      <c r="B417" s="31"/>
      <c r="C417" s="61"/>
      <c r="D417" s="61"/>
      <c r="E417" s="61"/>
      <c r="F417" s="61"/>
      <c r="G417" s="61"/>
      <c r="H417" s="6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ht="13.2" x14ac:dyDescent="0.25">
      <c r="A418" s="31"/>
      <c r="B418" s="31"/>
      <c r="C418" s="61"/>
      <c r="D418" s="61"/>
      <c r="E418" s="61"/>
      <c r="F418" s="61"/>
      <c r="G418" s="61"/>
      <c r="H418" s="6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ht="13.2" x14ac:dyDescent="0.25">
      <c r="A419" s="31"/>
      <c r="B419" s="31"/>
      <c r="C419" s="61"/>
      <c r="D419" s="61"/>
      <c r="E419" s="61"/>
      <c r="F419" s="61"/>
      <c r="G419" s="61"/>
      <c r="H419" s="6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ht="13.2" x14ac:dyDescent="0.25">
      <c r="A420" s="31"/>
      <c r="B420" s="31"/>
      <c r="C420" s="61"/>
      <c r="D420" s="61"/>
      <c r="E420" s="61"/>
      <c r="F420" s="61"/>
      <c r="G420" s="61"/>
      <c r="H420" s="6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ht="13.2" x14ac:dyDescent="0.25">
      <c r="A421" s="31"/>
      <c r="B421" s="31"/>
      <c r="C421" s="61"/>
      <c r="D421" s="61"/>
      <c r="E421" s="61"/>
      <c r="F421" s="61"/>
      <c r="G421" s="61"/>
      <c r="H421" s="6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ht="13.2" x14ac:dyDescent="0.25">
      <c r="A422" s="31"/>
      <c r="B422" s="31"/>
      <c r="C422" s="61"/>
      <c r="D422" s="61"/>
      <c r="E422" s="61"/>
      <c r="F422" s="61"/>
      <c r="G422" s="61"/>
      <c r="H422" s="6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ht="13.2" x14ac:dyDescent="0.25">
      <c r="A423" s="31"/>
      <c r="B423" s="31"/>
      <c r="C423" s="61"/>
      <c r="D423" s="61"/>
      <c r="E423" s="61"/>
      <c r="F423" s="61"/>
      <c r="G423" s="61"/>
      <c r="H423" s="6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ht="13.2" x14ac:dyDescent="0.25">
      <c r="A424" s="31"/>
      <c r="B424" s="31"/>
      <c r="C424" s="61"/>
      <c r="D424" s="61"/>
      <c r="E424" s="61"/>
      <c r="F424" s="61"/>
      <c r="G424" s="61"/>
      <c r="H424" s="6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ht="13.2" x14ac:dyDescent="0.25">
      <c r="A425" s="31"/>
      <c r="B425" s="31"/>
      <c r="C425" s="61"/>
      <c r="D425" s="61"/>
      <c r="E425" s="61"/>
      <c r="F425" s="61"/>
      <c r="G425" s="61"/>
      <c r="H425" s="6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ht="13.2" x14ac:dyDescent="0.25">
      <c r="A426" s="31"/>
      <c r="B426" s="31"/>
      <c r="C426" s="61"/>
      <c r="D426" s="61"/>
      <c r="E426" s="61"/>
      <c r="F426" s="61"/>
      <c r="G426" s="61"/>
      <c r="H426" s="6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ht="13.2" x14ac:dyDescent="0.25">
      <c r="A427" s="31"/>
      <c r="B427" s="31"/>
      <c r="C427" s="61"/>
      <c r="D427" s="61"/>
      <c r="E427" s="61"/>
      <c r="F427" s="61"/>
      <c r="G427" s="61"/>
      <c r="H427" s="6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ht="13.2" x14ac:dyDescent="0.25">
      <c r="A428" s="31"/>
      <c r="B428" s="31"/>
      <c r="C428" s="61"/>
      <c r="D428" s="61"/>
      <c r="E428" s="61"/>
      <c r="F428" s="61"/>
      <c r="G428" s="61"/>
      <c r="H428" s="6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ht="13.2" x14ac:dyDescent="0.25">
      <c r="A429" s="31"/>
      <c r="B429" s="31"/>
      <c r="C429" s="61"/>
      <c r="D429" s="61"/>
      <c r="E429" s="61"/>
      <c r="F429" s="61"/>
      <c r="G429" s="61"/>
      <c r="H429" s="6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ht="13.2" x14ac:dyDescent="0.25">
      <c r="A430" s="31"/>
      <c r="B430" s="31"/>
      <c r="C430" s="61"/>
      <c r="D430" s="61"/>
      <c r="E430" s="61"/>
      <c r="F430" s="61"/>
      <c r="G430" s="61"/>
      <c r="H430" s="6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ht="13.2" x14ac:dyDescent="0.25">
      <c r="A431" s="31"/>
      <c r="B431" s="31"/>
      <c r="C431" s="61"/>
      <c r="D431" s="61"/>
      <c r="E431" s="61"/>
      <c r="F431" s="61"/>
      <c r="G431" s="61"/>
      <c r="H431" s="6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ht="13.2" x14ac:dyDescent="0.25">
      <c r="A432" s="31"/>
      <c r="B432" s="31"/>
      <c r="C432" s="61"/>
      <c r="D432" s="61"/>
      <c r="E432" s="61"/>
      <c r="F432" s="61"/>
      <c r="G432" s="61"/>
      <c r="H432" s="6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ht="13.2" x14ac:dyDescent="0.25">
      <c r="A433" s="31"/>
      <c r="B433" s="31"/>
      <c r="C433" s="61"/>
      <c r="D433" s="61"/>
      <c r="E433" s="61"/>
      <c r="F433" s="61"/>
      <c r="G433" s="61"/>
      <c r="H433" s="6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ht="13.2" x14ac:dyDescent="0.25">
      <c r="A434" s="31"/>
      <c r="B434" s="31"/>
      <c r="C434" s="61"/>
      <c r="D434" s="61"/>
      <c r="E434" s="61"/>
      <c r="F434" s="61"/>
      <c r="G434" s="61"/>
      <c r="H434" s="6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ht="13.2" x14ac:dyDescent="0.25">
      <c r="A435" s="31"/>
      <c r="B435" s="31"/>
      <c r="C435" s="61"/>
      <c r="D435" s="61"/>
      <c r="E435" s="61"/>
      <c r="F435" s="61"/>
      <c r="G435" s="61"/>
      <c r="H435" s="6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ht="13.2" x14ac:dyDescent="0.25">
      <c r="A436" s="31"/>
      <c r="B436" s="31"/>
      <c r="C436" s="61"/>
      <c r="D436" s="61"/>
      <c r="E436" s="61"/>
      <c r="F436" s="61"/>
      <c r="G436" s="61"/>
      <c r="H436" s="6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ht="13.2" x14ac:dyDescent="0.25">
      <c r="A437" s="31"/>
      <c r="B437" s="31"/>
      <c r="C437" s="61"/>
      <c r="D437" s="61"/>
      <c r="E437" s="61"/>
      <c r="F437" s="61"/>
      <c r="G437" s="61"/>
      <c r="H437" s="6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ht="13.2" x14ac:dyDescent="0.25">
      <c r="A438" s="31"/>
      <c r="B438" s="31"/>
      <c r="C438" s="61"/>
      <c r="D438" s="61"/>
      <c r="E438" s="61"/>
      <c r="F438" s="61"/>
      <c r="G438" s="61"/>
      <c r="H438" s="6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ht="13.2" x14ac:dyDescent="0.25">
      <c r="A439" s="31"/>
      <c r="B439" s="31"/>
      <c r="C439" s="61"/>
      <c r="D439" s="61"/>
      <c r="E439" s="61"/>
      <c r="F439" s="61"/>
      <c r="G439" s="61"/>
      <c r="H439" s="6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ht="13.2" x14ac:dyDescent="0.25">
      <c r="A440" s="31"/>
      <c r="B440" s="31"/>
      <c r="C440" s="61"/>
      <c r="D440" s="61"/>
      <c r="E440" s="61"/>
      <c r="F440" s="61"/>
      <c r="G440" s="61"/>
      <c r="H440" s="6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ht="13.2" x14ac:dyDescent="0.25">
      <c r="A441" s="31"/>
      <c r="B441" s="31"/>
      <c r="C441" s="61"/>
      <c r="D441" s="61"/>
      <c r="E441" s="61"/>
      <c r="F441" s="61"/>
      <c r="G441" s="61"/>
      <c r="H441" s="6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ht="13.2" x14ac:dyDescent="0.25">
      <c r="A442" s="31"/>
      <c r="B442" s="31"/>
      <c r="C442" s="61"/>
      <c r="D442" s="61"/>
      <c r="E442" s="61"/>
      <c r="F442" s="61"/>
      <c r="G442" s="61"/>
      <c r="H442" s="6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ht="13.2" x14ac:dyDescent="0.25">
      <c r="A443" s="31"/>
      <c r="B443" s="31"/>
      <c r="C443" s="61"/>
      <c r="D443" s="61"/>
      <c r="E443" s="61"/>
      <c r="F443" s="61"/>
      <c r="G443" s="61"/>
      <c r="H443" s="6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ht="13.2" x14ac:dyDescent="0.25">
      <c r="A444" s="31"/>
      <c r="B444" s="31"/>
      <c r="C444" s="61"/>
      <c r="D444" s="61"/>
      <c r="E444" s="61"/>
      <c r="F444" s="61"/>
      <c r="G444" s="61"/>
      <c r="H444" s="6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ht="13.2" x14ac:dyDescent="0.25">
      <c r="A445" s="31"/>
      <c r="B445" s="31"/>
      <c r="C445" s="61"/>
      <c r="D445" s="61"/>
      <c r="E445" s="61"/>
      <c r="F445" s="61"/>
      <c r="G445" s="61"/>
      <c r="H445" s="6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ht="13.2" x14ac:dyDescent="0.25">
      <c r="A446" s="31"/>
      <c r="B446" s="31"/>
      <c r="C446" s="61"/>
      <c r="D446" s="61"/>
      <c r="E446" s="61"/>
      <c r="F446" s="61"/>
      <c r="G446" s="61"/>
      <c r="H446" s="6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ht="13.2" x14ac:dyDescent="0.25">
      <c r="A447" s="31"/>
      <c r="B447" s="31"/>
      <c r="C447" s="61"/>
      <c r="D447" s="61"/>
      <c r="E447" s="61"/>
      <c r="F447" s="61"/>
      <c r="G447" s="61"/>
      <c r="H447" s="6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ht="13.2" x14ac:dyDescent="0.25">
      <c r="A448" s="31"/>
      <c r="B448" s="31"/>
      <c r="C448" s="61"/>
      <c r="D448" s="61"/>
      <c r="E448" s="61"/>
      <c r="F448" s="61"/>
      <c r="G448" s="61"/>
      <c r="H448" s="6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ht="13.2" x14ac:dyDescent="0.25">
      <c r="A449" s="31"/>
      <c r="B449" s="31"/>
      <c r="C449" s="61"/>
      <c r="D449" s="61"/>
      <c r="E449" s="61"/>
      <c r="F449" s="61"/>
      <c r="G449" s="61"/>
      <c r="H449" s="6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ht="13.2" x14ac:dyDescent="0.25">
      <c r="A450" s="31"/>
      <c r="B450" s="31"/>
      <c r="C450" s="61"/>
      <c r="D450" s="61"/>
      <c r="E450" s="61"/>
      <c r="F450" s="61"/>
      <c r="G450" s="61"/>
      <c r="H450" s="6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ht="13.2" x14ac:dyDescent="0.25">
      <c r="A451" s="31"/>
      <c r="B451" s="31"/>
      <c r="C451" s="61"/>
      <c r="D451" s="61"/>
      <c r="E451" s="61"/>
      <c r="F451" s="61"/>
      <c r="G451" s="61"/>
      <c r="H451" s="6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ht="13.2" x14ac:dyDescent="0.25">
      <c r="A452" s="31"/>
      <c r="B452" s="31"/>
      <c r="C452" s="61"/>
      <c r="D452" s="61"/>
      <c r="E452" s="61"/>
      <c r="F452" s="61"/>
      <c r="G452" s="61"/>
      <c r="H452" s="6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ht="13.2" x14ac:dyDescent="0.25">
      <c r="A453" s="31"/>
      <c r="B453" s="31"/>
      <c r="C453" s="61"/>
      <c r="D453" s="61"/>
      <c r="E453" s="61"/>
      <c r="F453" s="61"/>
      <c r="G453" s="61"/>
      <c r="H453" s="6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ht="13.2" x14ac:dyDescent="0.25">
      <c r="A454" s="31"/>
      <c r="B454" s="31"/>
      <c r="C454" s="61"/>
      <c r="D454" s="61"/>
      <c r="E454" s="61"/>
      <c r="F454" s="61"/>
      <c r="G454" s="61"/>
      <c r="H454" s="6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ht="13.2" x14ac:dyDescent="0.25">
      <c r="A455" s="31"/>
      <c r="B455" s="31"/>
      <c r="C455" s="61"/>
      <c r="D455" s="61"/>
      <c r="E455" s="61"/>
      <c r="F455" s="61"/>
      <c r="G455" s="61"/>
      <c r="H455" s="6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ht="13.2" x14ac:dyDescent="0.25">
      <c r="A456" s="31"/>
      <c r="B456" s="31"/>
      <c r="C456" s="61"/>
      <c r="D456" s="61"/>
      <c r="E456" s="61"/>
      <c r="F456" s="61"/>
      <c r="G456" s="61"/>
      <c r="H456" s="6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ht="13.2" x14ac:dyDescent="0.25">
      <c r="A457" s="31"/>
      <c r="B457" s="31"/>
      <c r="C457" s="61"/>
      <c r="D457" s="61"/>
      <c r="E457" s="61"/>
      <c r="F457" s="61"/>
      <c r="G457" s="61"/>
      <c r="H457" s="6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ht="13.2" x14ac:dyDescent="0.25">
      <c r="A458" s="31"/>
      <c r="B458" s="31"/>
      <c r="C458" s="61"/>
      <c r="D458" s="61"/>
      <c r="E458" s="61"/>
      <c r="F458" s="61"/>
      <c r="G458" s="61"/>
      <c r="H458" s="6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ht="13.2" x14ac:dyDescent="0.25">
      <c r="A459" s="31"/>
      <c r="B459" s="31"/>
      <c r="C459" s="61"/>
      <c r="D459" s="61"/>
      <c r="E459" s="61"/>
      <c r="F459" s="61"/>
      <c r="G459" s="61"/>
      <c r="H459" s="6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ht="13.2" x14ac:dyDescent="0.25">
      <c r="A460" s="31"/>
      <c r="B460" s="31"/>
      <c r="C460" s="61"/>
      <c r="D460" s="61"/>
      <c r="E460" s="61"/>
      <c r="F460" s="61"/>
      <c r="G460" s="61"/>
      <c r="H460" s="6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ht="13.2" x14ac:dyDescent="0.25">
      <c r="A461" s="31"/>
      <c r="B461" s="31"/>
      <c r="C461" s="61"/>
      <c r="D461" s="61"/>
      <c r="E461" s="61"/>
      <c r="F461" s="61"/>
      <c r="G461" s="61"/>
      <c r="H461" s="6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ht="13.2" x14ac:dyDescent="0.25">
      <c r="A462" s="31"/>
      <c r="B462" s="31"/>
      <c r="C462" s="61"/>
      <c r="D462" s="61"/>
      <c r="E462" s="61"/>
      <c r="F462" s="61"/>
      <c r="G462" s="61"/>
      <c r="H462" s="6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ht="13.2" x14ac:dyDescent="0.25">
      <c r="A463" s="31"/>
      <c r="B463" s="31"/>
      <c r="C463" s="61"/>
      <c r="D463" s="61"/>
      <c r="E463" s="61"/>
      <c r="F463" s="61"/>
      <c r="G463" s="61"/>
      <c r="H463" s="6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ht="13.2" x14ac:dyDescent="0.25">
      <c r="A464" s="31"/>
      <c r="B464" s="31"/>
      <c r="C464" s="61"/>
      <c r="D464" s="61"/>
      <c r="E464" s="61"/>
      <c r="F464" s="61"/>
      <c r="G464" s="61"/>
      <c r="H464" s="6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ht="13.2" x14ac:dyDescent="0.25">
      <c r="A465" s="31"/>
      <c r="B465" s="31"/>
      <c r="C465" s="61"/>
      <c r="D465" s="61"/>
      <c r="E465" s="61"/>
      <c r="F465" s="61"/>
      <c r="G465" s="61"/>
      <c r="H465" s="6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ht="13.2" x14ac:dyDescent="0.25">
      <c r="A466" s="31"/>
      <c r="B466" s="31"/>
      <c r="C466" s="61"/>
      <c r="D466" s="61"/>
      <c r="E466" s="61"/>
      <c r="F466" s="61"/>
      <c r="G466" s="61"/>
      <c r="H466" s="6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ht="13.2" x14ac:dyDescent="0.25">
      <c r="A467" s="31"/>
      <c r="B467" s="31"/>
      <c r="C467" s="61"/>
      <c r="D467" s="61"/>
      <c r="E467" s="61"/>
      <c r="F467" s="61"/>
      <c r="G467" s="61"/>
      <c r="H467" s="6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ht="13.2" x14ac:dyDescent="0.25">
      <c r="A468" s="31"/>
      <c r="B468" s="31"/>
      <c r="C468" s="61"/>
      <c r="D468" s="61"/>
      <c r="E468" s="61"/>
      <c r="F468" s="61"/>
      <c r="G468" s="61"/>
      <c r="H468" s="6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ht="13.2" x14ac:dyDescent="0.25">
      <c r="A469" s="31"/>
      <c r="B469" s="31"/>
      <c r="C469" s="61"/>
      <c r="D469" s="61"/>
      <c r="E469" s="61"/>
      <c r="F469" s="61"/>
      <c r="G469" s="61"/>
      <c r="H469" s="6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ht="13.2" x14ac:dyDescent="0.25">
      <c r="A470" s="31"/>
      <c r="B470" s="31"/>
      <c r="C470" s="61"/>
      <c r="D470" s="61"/>
      <c r="E470" s="61"/>
      <c r="F470" s="61"/>
      <c r="G470" s="61"/>
      <c r="H470" s="6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ht="13.2" x14ac:dyDescent="0.25">
      <c r="A471" s="31"/>
      <c r="B471" s="31"/>
      <c r="C471" s="61"/>
      <c r="D471" s="61"/>
      <c r="E471" s="61"/>
      <c r="F471" s="61"/>
      <c r="G471" s="61"/>
      <c r="H471" s="6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ht="13.2" x14ac:dyDescent="0.25">
      <c r="A472" s="31"/>
      <c r="B472" s="31"/>
      <c r="C472" s="61"/>
      <c r="D472" s="61"/>
      <c r="E472" s="61"/>
      <c r="F472" s="61"/>
      <c r="G472" s="61"/>
      <c r="H472" s="6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ht="13.2" x14ac:dyDescent="0.25">
      <c r="A473" s="31"/>
      <c r="B473" s="31"/>
      <c r="C473" s="61"/>
      <c r="D473" s="61"/>
      <c r="E473" s="61"/>
      <c r="F473" s="61"/>
      <c r="G473" s="61"/>
      <c r="H473" s="6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ht="13.2" x14ac:dyDescent="0.25">
      <c r="A474" s="31"/>
      <c r="B474" s="31"/>
      <c r="C474" s="61"/>
      <c r="D474" s="61"/>
      <c r="E474" s="61"/>
      <c r="F474" s="61"/>
      <c r="G474" s="61"/>
      <c r="H474" s="6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ht="13.2" x14ac:dyDescent="0.25">
      <c r="A475" s="31"/>
      <c r="B475" s="31"/>
      <c r="C475" s="61"/>
      <c r="D475" s="61"/>
      <c r="E475" s="61"/>
      <c r="F475" s="61"/>
      <c r="G475" s="61"/>
      <c r="H475" s="6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ht="13.2" x14ac:dyDescent="0.25">
      <c r="A476" s="31"/>
      <c r="B476" s="31"/>
      <c r="C476" s="61"/>
      <c r="D476" s="61"/>
      <c r="E476" s="61"/>
      <c r="F476" s="61"/>
      <c r="G476" s="61"/>
      <c r="H476" s="6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ht="13.2" x14ac:dyDescent="0.25">
      <c r="A477" s="31"/>
      <c r="B477" s="31"/>
      <c r="C477" s="61"/>
      <c r="D477" s="61"/>
      <c r="E477" s="61"/>
      <c r="F477" s="61"/>
      <c r="G477" s="61"/>
      <c r="H477" s="6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ht="13.2" x14ac:dyDescent="0.25">
      <c r="A478" s="31"/>
      <c r="B478" s="31"/>
      <c r="C478" s="61"/>
      <c r="D478" s="61"/>
      <c r="E478" s="61"/>
      <c r="F478" s="61"/>
      <c r="G478" s="61"/>
      <c r="H478" s="6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ht="13.2" x14ac:dyDescent="0.25">
      <c r="A479" s="31"/>
      <c r="B479" s="31"/>
      <c r="C479" s="61"/>
      <c r="D479" s="61"/>
      <c r="E479" s="61"/>
      <c r="F479" s="61"/>
      <c r="G479" s="61"/>
      <c r="H479" s="6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ht="13.2" x14ac:dyDescent="0.25">
      <c r="A480" s="31"/>
      <c r="B480" s="31"/>
      <c r="C480" s="61"/>
      <c r="D480" s="61"/>
      <c r="E480" s="61"/>
      <c r="F480" s="61"/>
      <c r="G480" s="61"/>
      <c r="H480" s="6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ht="13.2" x14ac:dyDescent="0.25">
      <c r="A481" s="31"/>
      <c r="B481" s="31"/>
      <c r="C481" s="61"/>
      <c r="D481" s="61"/>
      <c r="E481" s="61"/>
      <c r="F481" s="61"/>
      <c r="G481" s="61"/>
      <c r="H481" s="6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ht="13.2" x14ac:dyDescent="0.25">
      <c r="A482" s="31"/>
      <c r="B482" s="31"/>
      <c r="C482" s="61"/>
      <c r="D482" s="61"/>
      <c r="E482" s="61"/>
      <c r="F482" s="61"/>
      <c r="G482" s="61"/>
      <c r="H482" s="6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ht="13.2" x14ac:dyDescent="0.25">
      <c r="A483" s="31"/>
      <c r="B483" s="31"/>
      <c r="C483" s="61"/>
      <c r="D483" s="61"/>
      <c r="E483" s="61"/>
      <c r="F483" s="61"/>
      <c r="G483" s="61"/>
      <c r="H483" s="6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ht="13.2" x14ac:dyDescent="0.25">
      <c r="A484" s="31"/>
      <c r="B484" s="31"/>
      <c r="C484" s="61"/>
      <c r="D484" s="61"/>
      <c r="E484" s="61"/>
      <c r="F484" s="61"/>
      <c r="G484" s="61"/>
      <c r="H484" s="6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ht="13.2" x14ac:dyDescent="0.25">
      <c r="A485" s="31"/>
      <c r="B485" s="31"/>
      <c r="C485" s="61"/>
      <c r="D485" s="61"/>
      <c r="E485" s="61"/>
      <c r="F485" s="61"/>
      <c r="G485" s="61"/>
      <c r="H485" s="6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ht="13.2" x14ac:dyDescent="0.25">
      <c r="A486" s="31"/>
      <c r="B486" s="31"/>
      <c r="C486" s="61"/>
      <c r="D486" s="61"/>
      <c r="E486" s="61"/>
      <c r="F486" s="61"/>
      <c r="G486" s="61"/>
      <c r="H486" s="6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ht="13.2" x14ac:dyDescent="0.25">
      <c r="A487" s="31"/>
      <c r="B487" s="31"/>
      <c r="C487" s="61"/>
      <c r="D487" s="61"/>
      <c r="E487" s="61"/>
      <c r="F487" s="61"/>
      <c r="G487" s="61"/>
      <c r="H487" s="6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ht="13.2" x14ac:dyDescent="0.25">
      <c r="A488" s="31"/>
      <c r="B488" s="31"/>
      <c r="C488" s="61"/>
      <c r="D488" s="61"/>
      <c r="E488" s="61"/>
      <c r="F488" s="61"/>
      <c r="G488" s="61"/>
      <c r="H488" s="6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ht="13.2" x14ac:dyDescent="0.25">
      <c r="A489" s="31"/>
      <c r="B489" s="31"/>
      <c r="C489" s="61"/>
      <c r="D489" s="61"/>
      <c r="E489" s="61"/>
      <c r="F489" s="61"/>
      <c r="G489" s="61"/>
      <c r="H489" s="6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ht="13.2" x14ac:dyDescent="0.25">
      <c r="A490" s="31"/>
      <c r="B490" s="31"/>
      <c r="C490" s="61"/>
      <c r="D490" s="61"/>
      <c r="E490" s="61"/>
      <c r="F490" s="61"/>
      <c r="G490" s="61"/>
      <c r="H490" s="6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ht="13.2" x14ac:dyDescent="0.25">
      <c r="A491" s="31"/>
      <c r="B491" s="31"/>
      <c r="C491" s="61"/>
      <c r="D491" s="61"/>
      <c r="E491" s="61"/>
      <c r="F491" s="61"/>
      <c r="G491" s="61"/>
      <c r="H491" s="6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ht="13.2" x14ac:dyDescent="0.25">
      <c r="A492" s="31"/>
      <c r="B492" s="31"/>
      <c r="C492" s="61"/>
      <c r="D492" s="61"/>
      <c r="E492" s="61"/>
      <c r="F492" s="61"/>
      <c r="G492" s="61"/>
      <c r="H492" s="6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ht="13.2" x14ac:dyDescent="0.25">
      <c r="A493" s="31"/>
      <c r="B493" s="31"/>
      <c r="C493" s="61"/>
      <c r="D493" s="61"/>
      <c r="E493" s="61"/>
      <c r="F493" s="61"/>
      <c r="G493" s="61"/>
      <c r="H493" s="6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ht="13.2" x14ac:dyDescent="0.25">
      <c r="A494" s="31"/>
      <c r="B494" s="31"/>
      <c r="C494" s="61"/>
      <c r="D494" s="61"/>
      <c r="E494" s="61"/>
      <c r="F494" s="61"/>
      <c r="G494" s="61"/>
      <c r="H494" s="6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ht="13.2" x14ac:dyDescent="0.25">
      <c r="A495" s="31"/>
      <c r="B495" s="31"/>
      <c r="C495" s="61"/>
      <c r="D495" s="61"/>
      <c r="E495" s="61"/>
      <c r="F495" s="61"/>
      <c r="G495" s="61"/>
      <c r="H495" s="6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ht="13.2" x14ac:dyDescent="0.25">
      <c r="A496" s="31"/>
      <c r="B496" s="31"/>
      <c r="C496" s="61"/>
      <c r="D496" s="61"/>
      <c r="E496" s="61"/>
      <c r="F496" s="61"/>
      <c r="G496" s="61"/>
      <c r="H496" s="6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ht="13.2" x14ac:dyDescent="0.25">
      <c r="A497" s="31"/>
      <c r="B497" s="31"/>
      <c r="C497" s="61"/>
      <c r="D497" s="61"/>
      <c r="E497" s="61"/>
      <c r="F497" s="61"/>
      <c r="G497" s="61"/>
      <c r="H497" s="6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ht="13.2" x14ac:dyDescent="0.25">
      <c r="A498" s="31"/>
      <c r="B498" s="31"/>
      <c r="C498" s="61"/>
      <c r="D498" s="61"/>
      <c r="E498" s="61"/>
      <c r="F498" s="61"/>
      <c r="G498" s="61"/>
      <c r="H498" s="6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ht="13.2" x14ac:dyDescent="0.25">
      <c r="A499" s="31"/>
      <c r="B499" s="31"/>
      <c r="C499" s="61"/>
      <c r="D499" s="61"/>
      <c r="E499" s="61"/>
      <c r="F499" s="61"/>
      <c r="G499" s="61"/>
      <c r="H499" s="6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ht="13.2" x14ac:dyDescent="0.25">
      <c r="A500" s="31"/>
      <c r="B500" s="31"/>
      <c r="C500" s="61"/>
      <c r="D500" s="61"/>
      <c r="E500" s="61"/>
      <c r="F500" s="61"/>
      <c r="G500" s="61"/>
      <c r="H500" s="6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ht="13.2" x14ac:dyDescent="0.25">
      <c r="A501" s="31"/>
      <c r="B501" s="31"/>
      <c r="C501" s="61"/>
      <c r="D501" s="61"/>
      <c r="E501" s="61"/>
      <c r="F501" s="61"/>
      <c r="G501" s="61"/>
      <c r="H501" s="6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ht="13.2" x14ac:dyDescent="0.25">
      <c r="A502" s="31"/>
      <c r="B502" s="31"/>
      <c r="C502" s="61"/>
      <c r="D502" s="61"/>
      <c r="E502" s="61"/>
      <c r="F502" s="61"/>
      <c r="G502" s="61"/>
      <c r="H502" s="6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ht="13.2" x14ac:dyDescent="0.25">
      <c r="A503" s="31"/>
      <c r="B503" s="31"/>
      <c r="C503" s="61"/>
      <c r="D503" s="61"/>
      <c r="E503" s="61"/>
      <c r="F503" s="61"/>
      <c r="G503" s="61"/>
      <c r="H503" s="6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ht="13.2" x14ac:dyDescent="0.25">
      <c r="A504" s="31"/>
      <c r="B504" s="31"/>
      <c r="C504" s="61"/>
      <c r="D504" s="61"/>
      <c r="E504" s="61"/>
      <c r="F504" s="61"/>
      <c r="G504" s="61"/>
      <c r="H504" s="6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ht="13.2" x14ac:dyDescent="0.25">
      <c r="A505" s="31"/>
      <c r="B505" s="31"/>
      <c r="C505" s="61"/>
      <c r="D505" s="61"/>
      <c r="E505" s="61"/>
      <c r="F505" s="61"/>
      <c r="G505" s="61"/>
      <c r="H505" s="6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ht="13.2" x14ac:dyDescent="0.25">
      <c r="A506" s="31"/>
      <c r="B506" s="31"/>
      <c r="C506" s="61"/>
      <c r="D506" s="61"/>
      <c r="E506" s="61"/>
      <c r="F506" s="61"/>
      <c r="G506" s="61"/>
      <c r="H506" s="6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ht="13.2" x14ac:dyDescent="0.25">
      <c r="A507" s="31"/>
      <c r="B507" s="31"/>
      <c r="C507" s="61"/>
      <c r="D507" s="61"/>
      <c r="E507" s="61"/>
      <c r="F507" s="61"/>
      <c r="G507" s="61"/>
      <c r="H507" s="6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ht="13.2" x14ac:dyDescent="0.25">
      <c r="A508" s="31"/>
      <c r="B508" s="31"/>
      <c r="C508" s="61"/>
      <c r="D508" s="61"/>
      <c r="E508" s="61"/>
      <c r="F508" s="61"/>
      <c r="G508" s="61"/>
      <c r="H508" s="6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ht="13.2" x14ac:dyDescent="0.25">
      <c r="A509" s="31"/>
      <c r="B509" s="31"/>
      <c r="C509" s="61"/>
      <c r="D509" s="61"/>
      <c r="E509" s="61"/>
      <c r="F509" s="61"/>
      <c r="G509" s="61"/>
      <c r="H509" s="6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ht="13.2" x14ac:dyDescent="0.25">
      <c r="A510" s="31"/>
      <c r="B510" s="31"/>
      <c r="C510" s="61"/>
      <c r="D510" s="61"/>
      <c r="E510" s="61"/>
      <c r="F510" s="61"/>
      <c r="G510" s="61"/>
      <c r="H510" s="6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ht="13.2" x14ac:dyDescent="0.25">
      <c r="A511" s="31"/>
      <c r="B511" s="31"/>
      <c r="C511" s="61"/>
      <c r="D511" s="61"/>
      <c r="E511" s="61"/>
      <c r="F511" s="61"/>
      <c r="G511" s="61"/>
      <c r="H511" s="6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ht="13.2" x14ac:dyDescent="0.25">
      <c r="A512" s="31"/>
      <c r="B512" s="31"/>
      <c r="C512" s="61"/>
      <c r="D512" s="61"/>
      <c r="E512" s="61"/>
      <c r="F512" s="61"/>
      <c r="G512" s="61"/>
      <c r="H512" s="6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ht="13.2" x14ac:dyDescent="0.25">
      <c r="A513" s="31"/>
      <c r="B513" s="31"/>
      <c r="C513" s="61"/>
      <c r="D513" s="61"/>
      <c r="E513" s="61"/>
      <c r="F513" s="61"/>
      <c r="G513" s="61"/>
      <c r="H513" s="6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ht="13.2" x14ac:dyDescent="0.25">
      <c r="A514" s="31"/>
      <c r="B514" s="31"/>
      <c r="C514" s="61"/>
      <c r="D514" s="61"/>
      <c r="E514" s="61"/>
      <c r="F514" s="61"/>
      <c r="G514" s="61"/>
      <c r="H514" s="6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ht="13.2" x14ac:dyDescent="0.25">
      <c r="A515" s="31"/>
      <c r="B515" s="31"/>
      <c r="C515" s="61"/>
      <c r="D515" s="61"/>
      <c r="E515" s="61"/>
      <c r="F515" s="61"/>
      <c r="G515" s="61"/>
      <c r="H515" s="6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ht="13.2" x14ac:dyDescent="0.25">
      <c r="A516" s="31"/>
      <c r="B516" s="31"/>
      <c r="C516" s="61"/>
      <c r="D516" s="61"/>
      <c r="E516" s="61"/>
      <c r="F516" s="61"/>
      <c r="G516" s="61"/>
      <c r="H516" s="6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ht="13.2" x14ac:dyDescent="0.25">
      <c r="A517" s="31"/>
      <c r="B517" s="31"/>
      <c r="C517" s="61"/>
      <c r="D517" s="61"/>
      <c r="E517" s="61"/>
      <c r="F517" s="61"/>
      <c r="G517" s="61"/>
      <c r="H517" s="6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ht="13.2" x14ac:dyDescent="0.25">
      <c r="A518" s="31"/>
      <c r="B518" s="31"/>
      <c r="C518" s="61"/>
      <c r="D518" s="61"/>
      <c r="E518" s="61"/>
      <c r="F518" s="61"/>
      <c r="G518" s="61"/>
      <c r="H518" s="6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ht="13.2" x14ac:dyDescent="0.25">
      <c r="A519" s="31"/>
      <c r="B519" s="31"/>
      <c r="C519" s="61"/>
      <c r="D519" s="61"/>
      <c r="E519" s="61"/>
      <c r="F519" s="61"/>
      <c r="G519" s="61"/>
      <c r="H519" s="6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ht="13.2" x14ac:dyDescent="0.25">
      <c r="A520" s="31"/>
      <c r="B520" s="31"/>
      <c r="C520" s="61"/>
      <c r="D520" s="61"/>
      <c r="E520" s="61"/>
      <c r="F520" s="61"/>
      <c r="G520" s="61"/>
      <c r="H520" s="6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ht="13.2" x14ac:dyDescent="0.25">
      <c r="A521" s="31"/>
      <c r="B521" s="31"/>
      <c r="C521" s="61"/>
      <c r="D521" s="61"/>
      <c r="E521" s="61"/>
      <c r="F521" s="61"/>
      <c r="G521" s="61"/>
      <c r="H521" s="6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ht="13.2" x14ac:dyDescent="0.25">
      <c r="A522" s="31"/>
      <c r="B522" s="31"/>
      <c r="C522" s="61"/>
      <c r="D522" s="61"/>
      <c r="E522" s="61"/>
      <c r="F522" s="61"/>
      <c r="G522" s="61"/>
      <c r="H522" s="6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ht="13.2" x14ac:dyDescent="0.25">
      <c r="A523" s="31"/>
      <c r="B523" s="31"/>
      <c r="C523" s="61"/>
      <c r="D523" s="61"/>
      <c r="E523" s="61"/>
      <c r="F523" s="61"/>
      <c r="G523" s="61"/>
      <c r="H523" s="6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ht="13.2" x14ac:dyDescent="0.25">
      <c r="A524" s="31"/>
      <c r="B524" s="31"/>
      <c r="C524" s="61"/>
      <c r="D524" s="61"/>
      <c r="E524" s="61"/>
      <c r="F524" s="61"/>
      <c r="G524" s="61"/>
      <c r="H524" s="6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ht="13.2" x14ac:dyDescent="0.25">
      <c r="A525" s="31"/>
      <c r="B525" s="31"/>
      <c r="C525" s="61"/>
      <c r="D525" s="61"/>
      <c r="E525" s="61"/>
      <c r="F525" s="61"/>
      <c r="G525" s="61"/>
      <c r="H525" s="6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ht="13.2" x14ac:dyDescent="0.25">
      <c r="A526" s="31"/>
      <c r="B526" s="31"/>
      <c r="C526" s="61"/>
      <c r="D526" s="61"/>
      <c r="E526" s="61"/>
      <c r="F526" s="61"/>
      <c r="G526" s="61"/>
      <c r="H526" s="6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ht="13.2" x14ac:dyDescent="0.25">
      <c r="A527" s="31"/>
      <c r="B527" s="31"/>
      <c r="C527" s="61"/>
      <c r="D527" s="61"/>
      <c r="E527" s="61"/>
      <c r="F527" s="61"/>
      <c r="G527" s="61"/>
      <c r="H527" s="6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ht="13.2" x14ac:dyDescent="0.25">
      <c r="A528" s="31"/>
      <c r="B528" s="31"/>
      <c r="C528" s="61"/>
      <c r="D528" s="61"/>
      <c r="E528" s="61"/>
      <c r="F528" s="61"/>
      <c r="G528" s="61"/>
      <c r="H528" s="6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ht="13.2" x14ac:dyDescent="0.25">
      <c r="A529" s="31"/>
      <c r="B529" s="31"/>
      <c r="C529" s="61"/>
      <c r="D529" s="61"/>
      <c r="E529" s="61"/>
      <c r="F529" s="61"/>
      <c r="G529" s="61"/>
      <c r="H529" s="6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ht="13.2" x14ac:dyDescent="0.25">
      <c r="A530" s="31"/>
      <c r="B530" s="31"/>
      <c r="C530" s="61"/>
      <c r="D530" s="61"/>
      <c r="E530" s="61"/>
      <c r="F530" s="61"/>
      <c r="G530" s="61"/>
      <c r="H530" s="6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ht="13.2" x14ac:dyDescent="0.25">
      <c r="A531" s="31"/>
      <c r="B531" s="31"/>
      <c r="C531" s="61"/>
      <c r="D531" s="61"/>
      <c r="E531" s="61"/>
      <c r="F531" s="61"/>
      <c r="G531" s="61"/>
      <c r="H531" s="6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ht="13.2" x14ac:dyDescent="0.25">
      <c r="A532" s="31"/>
      <c r="B532" s="31"/>
      <c r="C532" s="61"/>
      <c r="D532" s="61"/>
      <c r="E532" s="61"/>
      <c r="F532" s="61"/>
      <c r="G532" s="61"/>
      <c r="H532" s="6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ht="13.2" x14ac:dyDescent="0.25">
      <c r="A533" s="31"/>
      <c r="B533" s="31"/>
      <c r="C533" s="61"/>
      <c r="D533" s="61"/>
      <c r="E533" s="61"/>
      <c r="F533" s="61"/>
      <c r="G533" s="61"/>
      <c r="H533" s="6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ht="13.2" x14ac:dyDescent="0.25">
      <c r="A534" s="31"/>
      <c r="B534" s="31"/>
      <c r="C534" s="61"/>
      <c r="D534" s="61"/>
      <c r="E534" s="61"/>
      <c r="F534" s="61"/>
      <c r="G534" s="61"/>
      <c r="H534" s="6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ht="13.2" x14ac:dyDescent="0.25">
      <c r="A535" s="31"/>
      <c r="B535" s="31"/>
      <c r="C535" s="61"/>
      <c r="D535" s="61"/>
      <c r="E535" s="61"/>
      <c r="F535" s="61"/>
      <c r="G535" s="61"/>
      <c r="H535" s="6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ht="13.2" x14ac:dyDescent="0.25">
      <c r="A536" s="31"/>
      <c r="B536" s="31"/>
      <c r="C536" s="61"/>
      <c r="D536" s="61"/>
      <c r="E536" s="61"/>
      <c r="F536" s="61"/>
      <c r="G536" s="61"/>
      <c r="H536" s="6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ht="13.2" x14ac:dyDescent="0.25">
      <c r="A537" s="31"/>
      <c r="B537" s="31"/>
      <c r="C537" s="61"/>
      <c r="D537" s="61"/>
      <c r="E537" s="61"/>
      <c r="F537" s="61"/>
      <c r="G537" s="61"/>
      <c r="H537" s="6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ht="13.2" x14ac:dyDescent="0.25">
      <c r="A538" s="31"/>
      <c r="B538" s="31"/>
      <c r="C538" s="61"/>
      <c r="D538" s="61"/>
      <c r="E538" s="61"/>
      <c r="F538" s="61"/>
      <c r="G538" s="61"/>
      <c r="H538" s="6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ht="13.2" x14ac:dyDescent="0.25">
      <c r="A539" s="31"/>
      <c r="B539" s="31"/>
      <c r="C539" s="61"/>
      <c r="D539" s="61"/>
      <c r="E539" s="61"/>
      <c r="F539" s="61"/>
      <c r="G539" s="61"/>
      <c r="H539" s="6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ht="13.2" x14ac:dyDescent="0.25">
      <c r="A540" s="31"/>
      <c r="B540" s="31"/>
      <c r="C540" s="61"/>
      <c r="D540" s="61"/>
      <c r="E540" s="61"/>
      <c r="F540" s="61"/>
      <c r="G540" s="61"/>
      <c r="H540" s="6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ht="13.2" x14ac:dyDescent="0.25">
      <c r="A541" s="31"/>
      <c r="B541" s="31"/>
      <c r="C541" s="61"/>
      <c r="D541" s="61"/>
      <c r="E541" s="61"/>
      <c r="F541" s="61"/>
      <c r="G541" s="61"/>
      <c r="H541" s="6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ht="13.2" x14ac:dyDescent="0.25">
      <c r="A542" s="31"/>
      <c r="B542" s="31"/>
      <c r="C542" s="61"/>
      <c r="D542" s="61"/>
      <c r="E542" s="61"/>
      <c r="F542" s="61"/>
      <c r="G542" s="61"/>
      <c r="H542" s="6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ht="13.2" x14ac:dyDescent="0.25">
      <c r="A543" s="31"/>
      <c r="B543" s="31"/>
      <c r="C543" s="61"/>
      <c r="D543" s="61"/>
      <c r="E543" s="61"/>
      <c r="F543" s="61"/>
      <c r="G543" s="61"/>
      <c r="H543" s="6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ht="13.2" x14ac:dyDescent="0.25">
      <c r="A544" s="31"/>
      <c r="B544" s="31"/>
      <c r="C544" s="61"/>
      <c r="D544" s="61"/>
      <c r="E544" s="61"/>
      <c r="F544" s="61"/>
      <c r="G544" s="61"/>
      <c r="H544" s="6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ht="13.2" x14ac:dyDescent="0.25">
      <c r="A545" s="31"/>
      <c r="B545" s="31"/>
      <c r="C545" s="61"/>
      <c r="D545" s="61"/>
      <c r="E545" s="61"/>
      <c r="F545" s="61"/>
      <c r="G545" s="61"/>
      <c r="H545" s="6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ht="13.2" x14ac:dyDescent="0.25">
      <c r="A546" s="31"/>
      <c r="B546" s="31"/>
      <c r="C546" s="61"/>
      <c r="D546" s="61"/>
      <c r="E546" s="61"/>
      <c r="F546" s="61"/>
      <c r="G546" s="61"/>
      <c r="H546" s="6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ht="13.2" x14ac:dyDescent="0.25">
      <c r="A547" s="31"/>
      <c r="B547" s="31"/>
      <c r="C547" s="61"/>
      <c r="D547" s="61"/>
      <c r="E547" s="61"/>
      <c r="F547" s="61"/>
      <c r="G547" s="61"/>
      <c r="H547" s="6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ht="13.2" x14ac:dyDescent="0.25">
      <c r="A548" s="31"/>
      <c r="B548" s="31"/>
      <c r="C548" s="61"/>
      <c r="D548" s="61"/>
      <c r="E548" s="61"/>
      <c r="F548" s="61"/>
      <c r="G548" s="61"/>
      <c r="H548" s="6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ht="13.2" x14ac:dyDescent="0.25">
      <c r="A549" s="31"/>
      <c r="B549" s="31"/>
      <c r="C549" s="61"/>
      <c r="D549" s="61"/>
      <c r="E549" s="61"/>
      <c r="F549" s="61"/>
      <c r="G549" s="61"/>
      <c r="H549" s="6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ht="13.2" x14ac:dyDescent="0.25">
      <c r="A550" s="31"/>
      <c r="B550" s="31"/>
      <c r="C550" s="61"/>
      <c r="D550" s="61"/>
      <c r="E550" s="61"/>
      <c r="F550" s="61"/>
      <c r="G550" s="61"/>
      <c r="H550" s="6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ht="13.2" x14ac:dyDescent="0.25">
      <c r="A551" s="31"/>
      <c r="B551" s="31"/>
      <c r="C551" s="61"/>
      <c r="D551" s="61"/>
      <c r="E551" s="61"/>
      <c r="F551" s="61"/>
      <c r="G551" s="61"/>
      <c r="H551" s="6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ht="13.2" x14ac:dyDescent="0.25">
      <c r="A552" s="31"/>
      <c r="B552" s="31"/>
      <c r="C552" s="61"/>
      <c r="D552" s="61"/>
      <c r="E552" s="61"/>
      <c r="F552" s="61"/>
      <c r="G552" s="61"/>
      <c r="H552" s="6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ht="13.2" x14ac:dyDescent="0.25">
      <c r="A553" s="31"/>
      <c r="B553" s="31"/>
      <c r="C553" s="61"/>
      <c r="D553" s="61"/>
      <c r="E553" s="61"/>
      <c r="F553" s="61"/>
      <c r="G553" s="61"/>
      <c r="H553" s="6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ht="13.2" x14ac:dyDescent="0.25">
      <c r="A554" s="31"/>
      <c r="B554" s="31"/>
      <c r="C554" s="61"/>
      <c r="D554" s="61"/>
      <c r="E554" s="61"/>
      <c r="F554" s="61"/>
      <c r="G554" s="61"/>
      <c r="H554" s="6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ht="13.2" x14ac:dyDescent="0.25">
      <c r="A555" s="31"/>
      <c r="B555" s="31"/>
      <c r="C555" s="61"/>
      <c r="D555" s="61"/>
      <c r="E555" s="61"/>
      <c r="F555" s="61"/>
      <c r="G555" s="61"/>
      <c r="H555" s="6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ht="13.2" x14ac:dyDescent="0.25">
      <c r="A556" s="31"/>
      <c r="B556" s="31"/>
      <c r="C556" s="61"/>
      <c r="D556" s="61"/>
      <c r="E556" s="61"/>
      <c r="F556" s="61"/>
      <c r="G556" s="61"/>
      <c r="H556" s="6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ht="13.2" x14ac:dyDescent="0.25">
      <c r="A557" s="31"/>
      <c r="B557" s="31"/>
      <c r="C557" s="61"/>
      <c r="D557" s="61"/>
      <c r="E557" s="61"/>
      <c r="F557" s="61"/>
      <c r="G557" s="61"/>
      <c r="H557" s="6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ht="13.2" x14ac:dyDescent="0.25">
      <c r="A558" s="31"/>
      <c r="B558" s="31"/>
      <c r="C558" s="61"/>
      <c r="D558" s="61"/>
      <c r="E558" s="61"/>
      <c r="F558" s="61"/>
      <c r="G558" s="61"/>
      <c r="H558" s="6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ht="13.2" x14ac:dyDescent="0.25">
      <c r="A559" s="31"/>
      <c r="B559" s="31"/>
      <c r="C559" s="61"/>
      <c r="D559" s="61"/>
      <c r="E559" s="61"/>
      <c r="F559" s="61"/>
      <c r="G559" s="61"/>
      <c r="H559" s="6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ht="13.2" x14ac:dyDescent="0.25">
      <c r="A560" s="31"/>
      <c r="B560" s="31"/>
      <c r="C560" s="61"/>
      <c r="D560" s="61"/>
      <c r="E560" s="61"/>
      <c r="F560" s="61"/>
      <c r="G560" s="61"/>
      <c r="H560" s="6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ht="13.2" x14ac:dyDescent="0.25">
      <c r="A561" s="31"/>
      <c r="B561" s="31"/>
      <c r="C561" s="61"/>
      <c r="D561" s="61"/>
      <c r="E561" s="61"/>
      <c r="F561" s="61"/>
      <c r="G561" s="61"/>
      <c r="H561" s="6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ht="13.2" x14ac:dyDescent="0.25">
      <c r="A562" s="31"/>
      <c r="B562" s="31"/>
      <c r="C562" s="61"/>
      <c r="D562" s="61"/>
      <c r="E562" s="61"/>
      <c r="F562" s="61"/>
      <c r="G562" s="61"/>
      <c r="H562" s="6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ht="13.2" x14ac:dyDescent="0.25">
      <c r="A563" s="31"/>
      <c r="B563" s="31"/>
      <c r="C563" s="61"/>
      <c r="D563" s="61"/>
      <c r="E563" s="61"/>
      <c r="F563" s="61"/>
      <c r="G563" s="61"/>
      <c r="H563" s="6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ht="13.2" x14ac:dyDescent="0.25">
      <c r="A564" s="31"/>
      <c r="B564" s="31"/>
      <c r="C564" s="61"/>
      <c r="D564" s="61"/>
      <c r="E564" s="61"/>
      <c r="F564" s="61"/>
      <c r="G564" s="61"/>
      <c r="H564" s="6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ht="13.2" x14ac:dyDescent="0.25">
      <c r="A565" s="31"/>
      <c r="B565" s="31"/>
      <c r="C565" s="61"/>
      <c r="D565" s="61"/>
      <c r="E565" s="61"/>
      <c r="F565" s="61"/>
      <c r="G565" s="61"/>
      <c r="H565" s="6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ht="13.2" x14ac:dyDescent="0.25">
      <c r="A566" s="31"/>
      <c r="B566" s="31"/>
      <c r="C566" s="61"/>
      <c r="D566" s="61"/>
      <c r="E566" s="61"/>
      <c r="F566" s="61"/>
      <c r="G566" s="61"/>
      <c r="H566" s="6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ht="13.2" x14ac:dyDescent="0.25">
      <c r="A567" s="31"/>
      <c r="B567" s="31"/>
      <c r="C567" s="61"/>
      <c r="D567" s="61"/>
      <c r="E567" s="61"/>
      <c r="F567" s="61"/>
      <c r="G567" s="61"/>
      <c r="H567" s="6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ht="13.2" x14ac:dyDescent="0.25">
      <c r="A568" s="31"/>
      <c r="B568" s="31"/>
      <c r="C568" s="61"/>
      <c r="D568" s="61"/>
      <c r="E568" s="61"/>
      <c r="F568" s="61"/>
      <c r="G568" s="61"/>
      <c r="H568" s="6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ht="13.2" x14ac:dyDescent="0.25">
      <c r="A569" s="31"/>
      <c r="B569" s="31"/>
      <c r="C569" s="61"/>
      <c r="D569" s="61"/>
      <c r="E569" s="61"/>
      <c r="F569" s="61"/>
      <c r="G569" s="61"/>
      <c r="H569" s="6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ht="13.2" x14ac:dyDescent="0.25">
      <c r="A570" s="31"/>
      <c r="B570" s="31"/>
      <c r="C570" s="61"/>
      <c r="D570" s="61"/>
      <c r="E570" s="61"/>
      <c r="F570" s="61"/>
      <c r="G570" s="61"/>
      <c r="H570" s="6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ht="13.2" x14ac:dyDescent="0.25">
      <c r="A571" s="31"/>
      <c r="B571" s="31"/>
      <c r="C571" s="61"/>
      <c r="D571" s="61"/>
      <c r="E571" s="61"/>
      <c r="F571" s="61"/>
      <c r="G571" s="61"/>
      <c r="H571" s="6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ht="13.2" x14ac:dyDescent="0.25">
      <c r="A572" s="31"/>
      <c r="B572" s="31"/>
      <c r="C572" s="61"/>
      <c r="D572" s="61"/>
      <c r="E572" s="61"/>
      <c r="F572" s="61"/>
      <c r="G572" s="61"/>
      <c r="H572" s="6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ht="13.2" x14ac:dyDescent="0.25">
      <c r="A573" s="31"/>
      <c r="B573" s="31"/>
      <c r="C573" s="61"/>
      <c r="D573" s="61"/>
      <c r="E573" s="61"/>
      <c r="F573" s="61"/>
      <c r="G573" s="61"/>
      <c r="H573" s="6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ht="13.2" x14ac:dyDescent="0.25">
      <c r="A574" s="31"/>
      <c r="B574" s="31"/>
      <c r="C574" s="61"/>
      <c r="D574" s="61"/>
      <c r="E574" s="61"/>
      <c r="F574" s="61"/>
      <c r="G574" s="61"/>
      <c r="H574" s="6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ht="13.2" x14ac:dyDescent="0.25">
      <c r="A575" s="31"/>
      <c r="B575" s="31"/>
      <c r="C575" s="61"/>
      <c r="D575" s="61"/>
      <c r="E575" s="61"/>
      <c r="F575" s="61"/>
      <c r="G575" s="61"/>
      <c r="H575" s="6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ht="13.2" x14ac:dyDescent="0.25">
      <c r="A576" s="31"/>
      <c r="B576" s="31"/>
      <c r="C576" s="61"/>
      <c r="D576" s="61"/>
      <c r="E576" s="61"/>
      <c r="F576" s="61"/>
      <c r="G576" s="61"/>
      <c r="H576" s="6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ht="13.2" x14ac:dyDescent="0.25">
      <c r="A577" s="31"/>
      <c r="B577" s="31"/>
      <c r="C577" s="61"/>
      <c r="D577" s="61"/>
      <c r="E577" s="61"/>
      <c r="F577" s="61"/>
      <c r="G577" s="61"/>
      <c r="H577" s="6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ht="13.2" x14ac:dyDescent="0.25">
      <c r="A578" s="31"/>
      <c r="B578" s="31"/>
      <c r="C578" s="61"/>
      <c r="D578" s="61"/>
      <c r="E578" s="61"/>
      <c r="F578" s="61"/>
      <c r="G578" s="61"/>
      <c r="H578" s="6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ht="13.2" x14ac:dyDescent="0.25">
      <c r="A579" s="31"/>
      <c r="B579" s="31"/>
      <c r="C579" s="61"/>
      <c r="D579" s="61"/>
      <c r="E579" s="61"/>
      <c r="F579" s="61"/>
      <c r="G579" s="61"/>
      <c r="H579" s="6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ht="13.2" x14ac:dyDescent="0.25">
      <c r="A580" s="31"/>
      <c r="B580" s="31"/>
      <c r="C580" s="61"/>
      <c r="D580" s="61"/>
      <c r="E580" s="61"/>
      <c r="F580" s="61"/>
      <c r="G580" s="61"/>
      <c r="H580" s="6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ht="13.2" x14ac:dyDescent="0.25">
      <c r="A581" s="31"/>
      <c r="B581" s="31"/>
      <c r="C581" s="61"/>
      <c r="D581" s="61"/>
      <c r="E581" s="61"/>
      <c r="F581" s="61"/>
      <c r="G581" s="61"/>
      <c r="H581" s="6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ht="13.2" x14ac:dyDescent="0.25">
      <c r="A582" s="31"/>
      <c r="B582" s="31"/>
      <c r="C582" s="61"/>
      <c r="D582" s="61"/>
      <c r="E582" s="61"/>
      <c r="F582" s="61"/>
      <c r="G582" s="61"/>
      <c r="H582" s="6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ht="13.2" x14ac:dyDescent="0.25">
      <c r="A583" s="31"/>
      <c r="B583" s="31"/>
      <c r="C583" s="61"/>
      <c r="D583" s="61"/>
      <c r="E583" s="61"/>
      <c r="F583" s="61"/>
      <c r="G583" s="61"/>
      <c r="H583" s="6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ht="13.2" x14ac:dyDescent="0.25">
      <c r="A584" s="31"/>
      <c r="B584" s="31"/>
      <c r="C584" s="61"/>
      <c r="D584" s="61"/>
      <c r="E584" s="61"/>
      <c r="F584" s="61"/>
      <c r="G584" s="61"/>
      <c r="H584" s="6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ht="13.2" x14ac:dyDescent="0.25">
      <c r="A585" s="31"/>
      <c r="B585" s="31"/>
      <c r="C585" s="61"/>
      <c r="D585" s="61"/>
      <c r="E585" s="61"/>
      <c r="F585" s="61"/>
      <c r="G585" s="61"/>
      <c r="H585" s="6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ht="13.2" x14ac:dyDescent="0.25">
      <c r="A586" s="31"/>
      <c r="B586" s="31"/>
      <c r="C586" s="61"/>
      <c r="D586" s="61"/>
      <c r="E586" s="61"/>
      <c r="F586" s="61"/>
      <c r="G586" s="61"/>
      <c r="H586" s="6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ht="13.2" x14ac:dyDescent="0.25">
      <c r="A587" s="31"/>
      <c r="B587" s="31"/>
      <c r="C587" s="61"/>
      <c r="D587" s="61"/>
      <c r="E587" s="61"/>
      <c r="F587" s="61"/>
      <c r="G587" s="61"/>
      <c r="H587" s="6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ht="13.2" x14ac:dyDescent="0.25">
      <c r="A588" s="31"/>
      <c r="B588" s="31"/>
      <c r="C588" s="61"/>
      <c r="D588" s="61"/>
      <c r="E588" s="61"/>
      <c r="F588" s="61"/>
      <c r="G588" s="61"/>
      <c r="H588" s="6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ht="13.2" x14ac:dyDescent="0.25">
      <c r="A589" s="31"/>
      <c r="B589" s="31"/>
      <c r="C589" s="61"/>
      <c r="D589" s="61"/>
      <c r="E589" s="61"/>
      <c r="F589" s="61"/>
      <c r="G589" s="61"/>
      <c r="H589" s="6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ht="13.2" x14ac:dyDescent="0.25">
      <c r="A590" s="31"/>
      <c r="B590" s="31"/>
      <c r="C590" s="61"/>
      <c r="D590" s="61"/>
      <c r="E590" s="61"/>
      <c r="F590" s="61"/>
      <c r="G590" s="61"/>
      <c r="H590" s="6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ht="13.2" x14ac:dyDescent="0.25">
      <c r="A591" s="31"/>
      <c r="B591" s="31"/>
      <c r="C591" s="61"/>
      <c r="D591" s="61"/>
      <c r="E591" s="61"/>
      <c r="F591" s="61"/>
      <c r="G591" s="61"/>
      <c r="H591" s="6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ht="13.2" x14ac:dyDescent="0.25">
      <c r="A592" s="31"/>
      <c r="B592" s="31"/>
      <c r="C592" s="61"/>
      <c r="D592" s="61"/>
      <c r="E592" s="61"/>
      <c r="F592" s="61"/>
      <c r="G592" s="61"/>
      <c r="H592" s="6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ht="13.2" x14ac:dyDescent="0.25">
      <c r="A593" s="31"/>
      <c r="B593" s="31"/>
      <c r="C593" s="61"/>
      <c r="D593" s="61"/>
      <c r="E593" s="61"/>
      <c r="F593" s="61"/>
      <c r="G593" s="61"/>
      <c r="H593" s="6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ht="13.2" x14ac:dyDescent="0.25">
      <c r="A594" s="31"/>
      <c r="B594" s="31"/>
      <c r="C594" s="61"/>
      <c r="D594" s="61"/>
      <c r="E594" s="61"/>
      <c r="F594" s="61"/>
      <c r="G594" s="61"/>
      <c r="H594" s="6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ht="13.2" x14ac:dyDescent="0.25">
      <c r="A595" s="31"/>
      <c r="B595" s="31"/>
      <c r="C595" s="61"/>
      <c r="D595" s="61"/>
      <c r="E595" s="61"/>
      <c r="F595" s="61"/>
      <c r="G595" s="61"/>
      <c r="H595" s="6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ht="13.2" x14ac:dyDescent="0.25">
      <c r="A596" s="31"/>
      <c r="B596" s="31"/>
      <c r="C596" s="61"/>
      <c r="D596" s="61"/>
      <c r="E596" s="61"/>
      <c r="F596" s="61"/>
      <c r="G596" s="61"/>
      <c r="H596" s="6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ht="13.2" x14ac:dyDescent="0.25">
      <c r="A597" s="31"/>
      <c r="B597" s="31"/>
      <c r="C597" s="61"/>
      <c r="D597" s="61"/>
      <c r="E597" s="61"/>
      <c r="F597" s="61"/>
      <c r="G597" s="61"/>
      <c r="H597" s="6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ht="13.2" x14ac:dyDescent="0.25">
      <c r="A598" s="31"/>
      <c r="B598" s="31"/>
      <c r="C598" s="61"/>
      <c r="D598" s="61"/>
      <c r="E598" s="61"/>
      <c r="F598" s="61"/>
      <c r="G598" s="61"/>
      <c r="H598" s="6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ht="13.2" x14ac:dyDescent="0.25">
      <c r="A599" s="31"/>
      <c r="B599" s="31"/>
      <c r="C599" s="61"/>
      <c r="D599" s="61"/>
      <c r="E599" s="61"/>
      <c r="F599" s="61"/>
      <c r="G599" s="61"/>
      <c r="H599" s="6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ht="13.2" x14ac:dyDescent="0.25">
      <c r="A600" s="31"/>
      <c r="B600" s="31"/>
      <c r="C600" s="61"/>
      <c r="D600" s="61"/>
      <c r="E600" s="61"/>
      <c r="F600" s="61"/>
      <c r="G600" s="61"/>
      <c r="H600" s="6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ht="13.2" x14ac:dyDescent="0.25">
      <c r="A601" s="31"/>
      <c r="B601" s="31"/>
      <c r="C601" s="61"/>
      <c r="D601" s="61"/>
      <c r="E601" s="61"/>
      <c r="F601" s="61"/>
      <c r="G601" s="61"/>
      <c r="H601" s="6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ht="13.2" x14ac:dyDescent="0.25">
      <c r="A602" s="31"/>
      <c r="B602" s="31"/>
      <c r="C602" s="61"/>
      <c r="D602" s="61"/>
      <c r="E602" s="61"/>
      <c r="F602" s="61"/>
      <c r="G602" s="61"/>
      <c r="H602" s="6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ht="13.2" x14ac:dyDescent="0.25">
      <c r="A603" s="31"/>
      <c r="B603" s="31"/>
      <c r="C603" s="61"/>
      <c r="D603" s="61"/>
      <c r="E603" s="61"/>
      <c r="F603" s="61"/>
      <c r="G603" s="61"/>
      <c r="H603" s="6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ht="13.2" x14ac:dyDescent="0.25">
      <c r="A604" s="31"/>
      <c r="B604" s="31"/>
      <c r="C604" s="61"/>
      <c r="D604" s="61"/>
      <c r="E604" s="61"/>
      <c r="F604" s="61"/>
      <c r="G604" s="61"/>
      <c r="H604" s="6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ht="13.2" x14ac:dyDescent="0.25">
      <c r="A605" s="31"/>
      <c r="B605" s="31"/>
      <c r="C605" s="61"/>
      <c r="D605" s="61"/>
      <c r="E605" s="61"/>
      <c r="F605" s="61"/>
      <c r="G605" s="61"/>
      <c r="H605" s="6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ht="13.2" x14ac:dyDescent="0.25">
      <c r="A606" s="31"/>
      <c r="B606" s="31"/>
      <c r="C606" s="61"/>
      <c r="D606" s="61"/>
      <c r="E606" s="61"/>
      <c r="F606" s="61"/>
      <c r="G606" s="61"/>
      <c r="H606" s="6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ht="13.2" x14ac:dyDescent="0.25">
      <c r="A607" s="31"/>
      <c r="B607" s="31"/>
      <c r="C607" s="61"/>
      <c r="D607" s="61"/>
      <c r="E607" s="61"/>
      <c r="F607" s="61"/>
      <c r="G607" s="61"/>
      <c r="H607" s="6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ht="13.2" x14ac:dyDescent="0.25">
      <c r="A608" s="31"/>
      <c r="B608" s="31"/>
      <c r="C608" s="61"/>
      <c r="D608" s="61"/>
      <c r="E608" s="61"/>
      <c r="F608" s="61"/>
      <c r="G608" s="61"/>
      <c r="H608" s="6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ht="13.2" x14ac:dyDescent="0.25">
      <c r="A609" s="31"/>
      <c r="B609" s="31"/>
      <c r="C609" s="61"/>
      <c r="D609" s="61"/>
      <c r="E609" s="61"/>
      <c r="F609" s="61"/>
      <c r="G609" s="61"/>
      <c r="H609" s="6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ht="13.2" x14ac:dyDescent="0.25">
      <c r="A610" s="31"/>
      <c r="B610" s="31"/>
      <c r="C610" s="61"/>
      <c r="D610" s="61"/>
      <c r="E610" s="61"/>
      <c r="F610" s="61"/>
      <c r="G610" s="61"/>
      <c r="H610" s="6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ht="13.2" x14ac:dyDescent="0.25">
      <c r="A611" s="31"/>
      <c r="B611" s="31"/>
      <c r="C611" s="61"/>
      <c r="D611" s="61"/>
      <c r="E611" s="61"/>
      <c r="F611" s="61"/>
      <c r="G611" s="61"/>
      <c r="H611" s="6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ht="13.2" x14ac:dyDescent="0.25">
      <c r="A612" s="31"/>
      <c r="B612" s="31"/>
      <c r="C612" s="61"/>
      <c r="D612" s="61"/>
      <c r="E612" s="61"/>
      <c r="F612" s="61"/>
      <c r="G612" s="61"/>
      <c r="H612" s="6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ht="13.2" x14ac:dyDescent="0.25">
      <c r="A613" s="31"/>
      <c r="B613" s="31"/>
      <c r="C613" s="61"/>
      <c r="D613" s="61"/>
      <c r="E613" s="61"/>
      <c r="F613" s="61"/>
      <c r="G613" s="61"/>
      <c r="H613" s="6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ht="13.2" x14ac:dyDescent="0.25">
      <c r="A614" s="31"/>
      <c r="B614" s="31"/>
      <c r="C614" s="61"/>
      <c r="D614" s="61"/>
      <c r="E614" s="61"/>
      <c r="F614" s="61"/>
      <c r="G614" s="61"/>
      <c r="H614" s="6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ht="13.2" x14ac:dyDescent="0.25">
      <c r="A615" s="31"/>
      <c r="B615" s="31"/>
      <c r="C615" s="61"/>
      <c r="D615" s="61"/>
      <c r="E615" s="61"/>
      <c r="F615" s="61"/>
      <c r="G615" s="61"/>
      <c r="H615" s="6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ht="13.2" x14ac:dyDescent="0.25">
      <c r="A616" s="31"/>
      <c r="B616" s="31"/>
      <c r="C616" s="61"/>
      <c r="D616" s="61"/>
      <c r="E616" s="61"/>
      <c r="F616" s="61"/>
      <c r="G616" s="61"/>
      <c r="H616" s="6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ht="13.2" x14ac:dyDescent="0.25">
      <c r="A617" s="31"/>
      <c r="B617" s="31"/>
      <c r="C617" s="61"/>
      <c r="D617" s="61"/>
      <c r="E617" s="61"/>
      <c r="F617" s="61"/>
      <c r="G617" s="61"/>
      <c r="H617" s="6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ht="13.2" x14ac:dyDescent="0.25">
      <c r="A618" s="31"/>
      <c r="B618" s="31"/>
      <c r="C618" s="61"/>
      <c r="D618" s="61"/>
      <c r="E618" s="61"/>
      <c r="F618" s="61"/>
      <c r="G618" s="61"/>
      <c r="H618" s="6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ht="13.2" x14ac:dyDescent="0.25">
      <c r="A619" s="31"/>
      <c r="B619" s="31"/>
      <c r="C619" s="61"/>
      <c r="D619" s="61"/>
      <c r="E619" s="61"/>
      <c r="F619" s="61"/>
      <c r="G619" s="61"/>
      <c r="H619" s="6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ht="13.2" x14ac:dyDescent="0.25">
      <c r="A620" s="31"/>
      <c r="B620" s="31"/>
      <c r="C620" s="61"/>
      <c r="D620" s="61"/>
      <c r="E620" s="61"/>
      <c r="F620" s="61"/>
      <c r="G620" s="61"/>
      <c r="H620" s="6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ht="13.2" x14ac:dyDescent="0.25">
      <c r="A621" s="31"/>
      <c r="B621" s="31"/>
      <c r="C621" s="61"/>
      <c r="D621" s="61"/>
      <c r="E621" s="61"/>
      <c r="F621" s="61"/>
      <c r="G621" s="61"/>
      <c r="H621" s="6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ht="13.2" x14ac:dyDescent="0.25">
      <c r="A622" s="31"/>
      <c r="B622" s="31"/>
      <c r="C622" s="61"/>
      <c r="D622" s="61"/>
      <c r="E622" s="61"/>
      <c r="F622" s="61"/>
      <c r="G622" s="61"/>
      <c r="H622" s="6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ht="13.2" x14ac:dyDescent="0.25">
      <c r="A623" s="31"/>
      <c r="B623" s="31"/>
      <c r="C623" s="61"/>
      <c r="D623" s="61"/>
      <c r="E623" s="61"/>
      <c r="F623" s="61"/>
      <c r="G623" s="61"/>
      <c r="H623" s="6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ht="13.2" x14ac:dyDescent="0.25">
      <c r="A624" s="31"/>
      <c r="B624" s="31"/>
      <c r="C624" s="61"/>
      <c r="D624" s="61"/>
      <c r="E624" s="61"/>
      <c r="F624" s="61"/>
      <c r="G624" s="61"/>
      <c r="H624" s="6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ht="13.2" x14ac:dyDescent="0.25">
      <c r="A625" s="31"/>
      <c r="B625" s="31"/>
      <c r="C625" s="61"/>
      <c r="D625" s="61"/>
      <c r="E625" s="61"/>
      <c r="F625" s="61"/>
      <c r="G625" s="61"/>
      <c r="H625" s="6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ht="13.2" x14ac:dyDescent="0.25">
      <c r="A626" s="31"/>
      <c r="B626" s="31"/>
      <c r="C626" s="61"/>
      <c r="D626" s="61"/>
      <c r="E626" s="61"/>
      <c r="F626" s="61"/>
      <c r="G626" s="61"/>
      <c r="H626" s="6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ht="13.2" x14ac:dyDescent="0.25">
      <c r="A627" s="31"/>
      <c r="B627" s="31"/>
      <c r="C627" s="61"/>
      <c r="D627" s="61"/>
      <c r="E627" s="61"/>
      <c r="F627" s="61"/>
      <c r="G627" s="61"/>
      <c r="H627" s="6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ht="13.2" x14ac:dyDescent="0.25">
      <c r="A628" s="31"/>
      <c r="B628" s="31"/>
      <c r="C628" s="61"/>
      <c r="D628" s="61"/>
      <c r="E628" s="61"/>
      <c r="F628" s="61"/>
      <c r="G628" s="61"/>
      <c r="H628" s="6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ht="13.2" x14ac:dyDescent="0.25">
      <c r="A629" s="31"/>
      <c r="B629" s="31"/>
      <c r="C629" s="61"/>
      <c r="D629" s="61"/>
      <c r="E629" s="61"/>
      <c r="F629" s="61"/>
      <c r="G629" s="61"/>
      <c r="H629" s="6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ht="13.2" x14ac:dyDescent="0.25">
      <c r="A630" s="31"/>
      <c r="B630" s="31"/>
      <c r="C630" s="61"/>
      <c r="D630" s="61"/>
      <c r="E630" s="61"/>
      <c r="F630" s="61"/>
      <c r="G630" s="61"/>
      <c r="H630" s="6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ht="13.2" x14ac:dyDescent="0.25">
      <c r="A631" s="31"/>
      <c r="B631" s="31"/>
      <c r="C631" s="61"/>
      <c r="D631" s="61"/>
      <c r="E631" s="61"/>
      <c r="F631" s="61"/>
      <c r="G631" s="61"/>
      <c r="H631" s="6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ht="13.2" x14ac:dyDescent="0.25">
      <c r="A632" s="31"/>
      <c r="B632" s="31"/>
      <c r="C632" s="61"/>
      <c r="D632" s="61"/>
      <c r="E632" s="61"/>
      <c r="F632" s="61"/>
      <c r="G632" s="61"/>
      <c r="H632" s="6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ht="13.2" x14ac:dyDescent="0.25">
      <c r="A633" s="31"/>
      <c r="B633" s="31"/>
      <c r="C633" s="61"/>
      <c r="D633" s="61"/>
      <c r="E633" s="61"/>
      <c r="F633" s="61"/>
      <c r="G633" s="61"/>
      <c r="H633" s="6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ht="13.2" x14ac:dyDescent="0.25">
      <c r="A634" s="31"/>
      <c r="B634" s="31"/>
      <c r="C634" s="61"/>
      <c r="D634" s="61"/>
      <c r="E634" s="61"/>
      <c r="F634" s="61"/>
      <c r="G634" s="61"/>
      <c r="H634" s="6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ht="13.2" x14ac:dyDescent="0.25">
      <c r="A635" s="31"/>
      <c r="B635" s="31"/>
      <c r="C635" s="61"/>
      <c r="D635" s="61"/>
      <c r="E635" s="61"/>
      <c r="F635" s="61"/>
      <c r="G635" s="61"/>
      <c r="H635" s="6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ht="13.2" x14ac:dyDescent="0.25">
      <c r="A636" s="31"/>
      <c r="B636" s="31"/>
      <c r="C636" s="61"/>
      <c r="D636" s="61"/>
      <c r="E636" s="61"/>
      <c r="F636" s="61"/>
      <c r="G636" s="61"/>
      <c r="H636" s="6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ht="13.2" x14ac:dyDescent="0.25">
      <c r="A637" s="31"/>
      <c r="B637" s="31"/>
      <c r="C637" s="61"/>
      <c r="D637" s="61"/>
      <c r="E637" s="61"/>
      <c r="F637" s="61"/>
      <c r="G637" s="61"/>
      <c r="H637" s="6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ht="13.2" x14ac:dyDescent="0.25">
      <c r="A638" s="31"/>
      <c r="B638" s="31"/>
      <c r="C638" s="61"/>
      <c r="D638" s="61"/>
      <c r="E638" s="61"/>
      <c r="F638" s="61"/>
      <c r="G638" s="61"/>
      <c r="H638" s="6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ht="13.2" x14ac:dyDescent="0.25">
      <c r="A639" s="31"/>
      <c r="B639" s="31"/>
      <c r="C639" s="61"/>
      <c r="D639" s="61"/>
      <c r="E639" s="61"/>
      <c r="F639" s="61"/>
      <c r="G639" s="61"/>
      <c r="H639" s="6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ht="13.2" x14ac:dyDescent="0.25">
      <c r="A640" s="31"/>
      <c r="B640" s="31"/>
      <c r="C640" s="61"/>
      <c r="D640" s="61"/>
      <c r="E640" s="61"/>
      <c r="F640" s="61"/>
      <c r="G640" s="61"/>
      <c r="H640" s="6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ht="13.2" x14ac:dyDescent="0.25">
      <c r="A641" s="31"/>
      <c r="B641" s="31"/>
      <c r="C641" s="61"/>
      <c r="D641" s="61"/>
      <c r="E641" s="61"/>
      <c r="F641" s="61"/>
      <c r="G641" s="61"/>
      <c r="H641" s="6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ht="13.2" x14ac:dyDescent="0.25">
      <c r="A642" s="31"/>
      <c r="B642" s="31"/>
      <c r="C642" s="61"/>
      <c r="D642" s="61"/>
      <c r="E642" s="61"/>
      <c r="F642" s="61"/>
      <c r="G642" s="61"/>
      <c r="H642" s="6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ht="13.2" x14ac:dyDescent="0.25">
      <c r="A643" s="31"/>
      <c r="B643" s="31"/>
      <c r="C643" s="61"/>
      <c r="D643" s="61"/>
      <c r="E643" s="61"/>
      <c r="F643" s="61"/>
      <c r="G643" s="61"/>
      <c r="H643" s="6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ht="13.2" x14ac:dyDescent="0.25">
      <c r="A644" s="31"/>
      <c r="B644" s="31"/>
      <c r="C644" s="61"/>
      <c r="D644" s="61"/>
      <c r="E644" s="61"/>
      <c r="F644" s="61"/>
      <c r="G644" s="61"/>
      <c r="H644" s="6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ht="13.2" x14ac:dyDescent="0.25">
      <c r="A645" s="31"/>
      <c r="B645" s="31"/>
      <c r="C645" s="61"/>
      <c r="D645" s="61"/>
      <c r="E645" s="61"/>
      <c r="F645" s="61"/>
      <c r="G645" s="61"/>
      <c r="H645" s="6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ht="13.2" x14ac:dyDescent="0.25">
      <c r="A646" s="31"/>
      <c r="B646" s="31"/>
      <c r="C646" s="61"/>
      <c r="D646" s="61"/>
      <c r="E646" s="61"/>
      <c r="F646" s="61"/>
      <c r="G646" s="61"/>
      <c r="H646" s="6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ht="13.2" x14ac:dyDescent="0.25">
      <c r="A647" s="31"/>
      <c r="B647" s="31"/>
      <c r="C647" s="61"/>
      <c r="D647" s="61"/>
      <c r="E647" s="61"/>
      <c r="F647" s="61"/>
      <c r="G647" s="61"/>
      <c r="H647" s="6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ht="13.2" x14ac:dyDescent="0.25">
      <c r="A648" s="31"/>
      <c r="B648" s="31"/>
      <c r="C648" s="61"/>
      <c r="D648" s="61"/>
      <c r="E648" s="61"/>
      <c r="F648" s="61"/>
      <c r="G648" s="61"/>
      <c r="H648" s="6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ht="13.2" x14ac:dyDescent="0.25">
      <c r="A649" s="31"/>
      <c r="B649" s="31"/>
      <c r="C649" s="61"/>
      <c r="D649" s="61"/>
      <c r="E649" s="61"/>
      <c r="F649" s="61"/>
      <c r="G649" s="61"/>
      <c r="H649" s="6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ht="13.2" x14ac:dyDescent="0.25">
      <c r="A650" s="31"/>
      <c r="B650" s="31"/>
      <c r="C650" s="61"/>
      <c r="D650" s="61"/>
      <c r="E650" s="61"/>
      <c r="F650" s="61"/>
      <c r="G650" s="61"/>
      <c r="H650" s="6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ht="13.2" x14ac:dyDescent="0.25">
      <c r="A651" s="31"/>
      <c r="B651" s="31"/>
      <c r="C651" s="61"/>
      <c r="D651" s="61"/>
      <c r="E651" s="61"/>
      <c r="F651" s="61"/>
      <c r="G651" s="61"/>
      <c r="H651" s="6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ht="13.2" x14ac:dyDescent="0.25">
      <c r="A652" s="31"/>
      <c r="B652" s="31"/>
      <c r="C652" s="61"/>
      <c r="D652" s="61"/>
      <c r="E652" s="61"/>
      <c r="F652" s="61"/>
      <c r="G652" s="61"/>
      <c r="H652" s="6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ht="13.2" x14ac:dyDescent="0.25">
      <c r="A653" s="31"/>
      <c r="B653" s="31"/>
      <c r="C653" s="61"/>
      <c r="D653" s="61"/>
      <c r="E653" s="61"/>
      <c r="F653" s="61"/>
      <c r="G653" s="61"/>
      <c r="H653" s="6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ht="13.2" x14ac:dyDescent="0.25">
      <c r="A654" s="31"/>
      <c r="B654" s="31"/>
      <c r="C654" s="61"/>
      <c r="D654" s="61"/>
      <c r="E654" s="61"/>
      <c r="F654" s="61"/>
      <c r="G654" s="61"/>
      <c r="H654" s="6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ht="13.2" x14ac:dyDescent="0.25">
      <c r="A655" s="31"/>
      <c r="B655" s="31"/>
      <c r="C655" s="61"/>
      <c r="D655" s="61"/>
      <c r="E655" s="61"/>
      <c r="F655" s="61"/>
      <c r="G655" s="61"/>
      <c r="H655" s="6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ht="13.2" x14ac:dyDescent="0.25">
      <c r="A656" s="31"/>
      <c r="B656" s="31"/>
      <c r="C656" s="61"/>
      <c r="D656" s="61"/>
      <c r="E656" s="61"/>
      <c r="F656" s="61"/>
      <c r="G656" s="61"/>
      <c r="H656" s="6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ht="13.2" x14ac:dyDescent="0.25">
      <c r="A657" s="31"/>
      <c r="B657" s="31"/>
      <c r="C657" s="61"/>
      <c r="D657" s="61"/>
      <c r="E657" s="61"/>
      <c r="F657" s="61"/>
      <c r="G657" s="61"/>
      <c r="H657" s="6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ht="13.2" x14ac:dyDescent="0.25">
      <c r="A658" s="31"/>
      <c r="B658" s="31"/>
      <c r="C658" s="61"/>
      <c r="D658" s="61"/>
      <c r="E658" s="61"/>
      <c r="F658" s="61"/>
      <c r="G658" s="61"/>
      <c r="H658" s="6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ht="13.2" x14ac:dyDescent="0.25">
      <c r="A659" s="31"/>
      <c r="B659" s="31"/>
      <c r="C659" s="61"/>
      <c r="D659" s="61"/>
      <c r="E659" s="61"/>
      <c r="F659" s="61"/>
      <c r="G659" s="61"/>
      <c r="H659" s="6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ht="13.2" x14ac:dyDescent="0.25">
      <c r="A660" s="31"/>
      <c r="B660" s="31"/>
      <c r="C660" s="61"/>
      <c r="D660" s="61"/>
      <c r="E660" s="61"/>
      <c r="F660" s="61"/>
      <c r="G660" s="61"/>
      <c r="H660" s="6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ht="13.2" x14ac:dyDescent="0.25">
      <c r="A661" s="31"/>
      <c r="B661" s="31"/>
      <c r="C661" s="61"/>
      <c r="D661" s="61"/>
      <c r="E661" s="61"/>
      <c r="F661" s="61"/>
      <c r="G661" s="61"/>
      <c r="H661" s="6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ht="13.2" x14ac:dyDescent="0.25">
      <c r="A662" s="31"/>
      <c r="B662" s="31"/>
      <c r="C662" s="61"/>
      <c r="D662" s="61"/>
      <c r="E662" s="61"/>
      <c r="F662" s="61"/>
      <c r="G662" s="61"/>
      <c r="H662" s="6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ht="13.2" x14ac:dyDescent="0.25">
      <c r="A663" s="31"/>
      <c r="B663" s="31"/>
      <c r="C663" s="61"/>
      <c r="D663" s="61"/>
      <c r="E663" s="61"/>
      <c r="F663" s="61"/>
      <c r="G663" s="61"/>
      <c r="H663" s="6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ht="13.2" x14ac:dyDescent="0.25">
      <c r="A664" s="31"/>
      <c r="B664" s="31"/>
      <c r="C664" s="61"/>
      <c r="D664" s="61"/>
      <c r="E664" s="61"/>
      <c r="F664" s="61"/>
      <c r="G664" s="61"/>
      <c r="H664" s="6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ht="13.2" x14ac:dyDescent="0.25">
      <c r="A665" s="31"/>
      <c r="B665" s="31"/>
      <c r="C665" s="61"/>
      <c r="D665" s="61"/>
      <c r="E665" s="61"/>
      <c r="F665" s="61"/>
      <c r="G665" s="61"/>
      <c r="H665" s="6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ht="13.2" x14ac:dyDescent="0.25">
      <c r="A666" s="31"/>
      <c r="B666" s="31"/>
      <c r="C666" s="61"/>
      <c r="D666" s="61"/>
      <c r="E666" s="61"/>
      <c r="F666" s="61"/>
      <c r="G666" s="61"/>
      <c r="H666" s="6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ht="13.2" x14ac:dyDescent="0.25">
      <c r="A667" s="31"/>
      <c r="B667" s="31"/>
      <c r="C667" s="61"/>
      <c r="D667" s="61"/>
      <c r="E667" s="61"/>
      <c r="F667" s="61"/>
      <c r="G667" s="61"/>
      <c r="H667" s="6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ht="13.2" x14ac:dyDescent="0.25">
      <c r="A668" s="31"/>
      <c r="B668" s="31"/>
      <c r="C668" s="61"/>
      <c r="D668" s="61"/>
      <c r="E668" s="61"/>
      <c r="F668" s="61"/>
      <c r="G668" s="61"/>
      <c r="H668" s="6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ht="13.2" x14ac:dyDescent="0.25">
      <c r="A669" s="31"/>
      <c r="B669" s="31"/>
      <c r="C669" s="61"/>
      <c r="D669" s="61"/>
      <c r="E669" s="61"/>
      <c r="F669" s="61"/>
      <c r="G669" s="61"/>
      <c r="H669" s="6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ht="13.2" x14ac:dyDescent="0.25">
      <c r="A670" s="31"/>
      <c r="B670" s="31"/>
      <c r="C670" s="61"/>
      <c r="D670" s="61"/>
      <c r="E670" s="61"/>
      <c r="F670" s="61"/>
      <c r="G670" s="61"/>
      <c r="H670" s="6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ht="13.2" x14ac:dyDescent="0.25">
      <c r="A671" s="31"/>
      <c r="B671" s="31"/>
      <c r="C671" s="61"/>
      <c r="D671" s="61"/>
      <c r="E671" s="61"/>
      <c r="F671" s="61"/>
      <c r="G671" s="61"/>
      <c r="H671" s="6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ht="13.2" x14ac:dyDescent="0.25">
      <c r="A672" s="31"/>
      <c r="B672" s="31"/>
      <c r="C672" s="61"/>
      <c r="D672" s="61"/>
      <c r="E672" s="61"/>
      <c r="F672" s="61"/>
      <c r="G672" s="61"/>
      <c r="H672" s="6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ht="13.2" x14ac:dyDescent="0.25">
      <c r="A673" s="31"/>
      <c r="B673" s="31"/>
      <c r="C673" s="61"/>
      <c r="D673" s="61"/>
      <c r="E673" s="61"/>
      <c r="F673" s="61"/>
      <c r="G673" s="61"/>
      <c r="H673" s="6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ht="13.2" x14ac:dyDescent="0.25">
      <c r="A674" s="31"/>
      <c r="B674" s="31"/>
      <c r="C674" s="61"/>
      <c r="D674" s="61"/>
      <c r="E674" s="61"/>
      <c r="F674" s="61"/>
      <c r="G674" s="61"/>
      <c r="H674" s="6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ht="13.2" x14ac:dyDescent="0.25">
      <c r="A675" s="31"/>
      <c r="B675" s="31"/>
      <c r="C675" s="61"/>
      <c r="D675" s="61"/>
      <c r="E675" s="61"/>
      <c r="F675" s="61"/>
      <c r="G675" s="61"/>
      <c r="H675" s="6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ht="13.2" x14ac:dyDescent="0.25">
      <c r="A676" s="31"/>
      <c r="B676" s="31"/>
      <c r="C676" s="61"/>
      <c r="D676" s="61"/>
      <c r="E676" s="61"/>
      <c r="F676" s="61"/>
      <c r="G676" s="61"/>
      <c r="H676" s="6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ht="13.2" x14ac:dyDescent="0.25">
      <c r="A677" s="31"/>
      <c r="B677" s="31"/>
      <c r="C677" s="61"/>
      <c r="D677" s="61"/>
      <c r="E677" s="61"/>
      <c r="F677" s="61"/>
      <c r="G677" s="61"/>
      <c r="H677" s="6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ht="13.2" x14ac:dyDescent="0.25">
      <c r="A678" s="31"/>
      <c r="B678" s="31"/>
      <c r="C678" s="61"/>
      <c r="D678" s="61"/>
      <c r="E678" s="61"/>
      <c r="F678" s="61"/>
      <c r="G678" s="61"/>
      <c r="H678" s="6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ht="13.2" x14ac:dyDescent="0.25">
      <c r="A679" s="31"/>
      <c r="B679" s="31"/>
      <c r="C679" s="61"/>
      <c r="D679" s="61"/>
      <c r="E679" s="61"/>
      <c r="F679" s="61"/>
      <c r="G679" s="61"/>
      <c r="H679" s="6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ht="13.2" x14ac:dyDescent="0.25">
      <c r="A680" s="31"/>
      <c r="B680" s="31"/>
      <c r="C680" s="61"/>
      <c r="D680" s="61"/>
      <c r="E680" s="61"/>
      <c r="F680" s="61"/>
      <c r="G680" s="61"/>
      <c r="H680" s="6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ht="13.2" x14ac:dyDescent="0.25">
      <c r="A681" s="31"/>
      <c r="B681" s="31"/>
      <c r="C681" s="61"/>
      <c r="D681" s="61"/>
      <c r="E681" s="61"/>
      <c r="F681" s="61"/>
      <c r="G681" s="61"/>
      <c r="H681" s="6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ht="13.2" x14ac:dyDescent="0.25">
      <c r="A682" s="31"/>
      <c r="B682" s="31"/>
      <c r="C682" s="61"/>
      <c r="D682" s="61"/>
      <c r="E682" s="61"/>
      <c r="F682" s="61"/>
      <c r="G682" s="61"/>
      <c r="H682" s="6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ht="13.2" x14ac:dyDescent="0.25">
      <c r="A683" s="31"/>
      <c r="B683" s="31"/>
      <c r="C683" s="61"/>
      <c r="D683" s="61"/>
      <c r="E683" s="61"/>
      <c r="F683" s="61"/>
      <c r="G683" s="61"/>
      <c r="H683" s="6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ht="13.2" x14ac:dyDescent="0.25">
      <c r="A684" s="31"/>
      <c r="B684" s="31"/>
      <c r="C684" s="61"/>
      <c r="D684" s="61"/>
      <c r="E684" s="61"/>
      <c r="F684" s="61"/>
      <c r="G684" s="61"/>
      <c r="H684" s="6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ht="13.2" x14ac:dyDescent="0.25">
      <c r="A685" s="31"/>
      <c r="B685" s="31"/>
      <c r="C685" s="61"/>
      <c r="D685" s="61"/>
      <c r="E685" s="61"/>
      <c r="F685" s="61"/>
      <c r="G685" s="61"/>
      <c r="H685" s="6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ht="13.2" x14ac:dyDescent="0.25">
      <c r="A686" s="31"/>
      <c r="B686" s="31"/>
      <c r="C686" s="61"/>
      <c r="D686" s="61"/>
      <c r="E686" s="61"/>
      <c r="F686" s="61"/>
      <c r="G686" s="61"/>
      <c r="H686" s="6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ht="13.2" x14ac:dyDescent="0.25">
      <c r="A687" s="31"/>
      <c r="B687" s="31"/>
      <c r="C687" s="61"/>
      <c r="D687" s="61"/>
      <c r="E687" s="61"/>
      <c r="F687" s="61"/>
      <c r="G687" s="61"/>
      <c r="H687" s="6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ht="13.2" x14ac:dyDescent="0.25">
      <c r="A688" s="31"/>
      <c r="B688" s="31"/>
      <c r="C688" s="61"/>
      <c r="D688" s="61"/>
      <c r="E688" s="61"/>
      <c r="F688" s="61"/>
      <c r="G688" s="61"/>
      <c r="H688" s="6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ht="13.2" x14ac:dyDescent="0.25">
      <c r="A689" s="31"/>
      <c r="B689" s="31"/>
      <c r="C689" s="61"/>
      <c r="D689" s="61"/>
      <c r="E689" s="61"/>
      <c r="F689" s="61"/>
      <c r="G689" s="61"/>
      <c r="H689" s="6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ht="13.2" x14ac:dyDescent="0.25">
      <c r="A690" s="31"/>
      <c r="B690" s="31"/>
      <c r="C690" s="61"/>
      <c r="D690" s="61"/>
      <c r="E690" s="61"/>
      <c r="F690" s="61"/>
      <c r="G690" s="61"/>
      <c r="H690" s="6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ht="13.2" x14ac:dyDescent="0.25">
      <c r="A691" s="31"/>
      <c r="B691" s="31"/>
      <c r="C691" s="61"/>
      <c r="D691" s="61"/>
      <c r="E691" s="61"/>
      <c r="F691" s="61"/>
      <c r="G691" s="61"/>
      <c r="H691" s="6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ht="13.2" x14ac:dyDescent="0.25">
      <c r="A692" s="31"/>
      <c r="B692" s="31"/>
      <c r="C692" s="61"/>
      <c r="D692" s="61"/>
      <c r="E692" s="61"/>
      <c r="F692" s="61"/>
      <c r="G692" s="61"/>
      <c r="H692" s="6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ht="13.2" x14ac:dyDescent="0.25">
      <c r="A693" s="31"/>
      <c r="B693" s="31"/>
      <c r="C693" s="61"/>
      <c r="D693" s="61"/>
      <c r="E693" s="61"/>
      <c r="F693" s="61"/>
      <c r="G693" s="61"/>
      <c r="H693" s="6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ht="13.2" x14ac:dyDescent="0.25">
      <c r="A694" s="31"/>
      <c r="B694" s="31"/>
      <c r="C694" s="61"/>
      <c r="D694" s="61"/>
      <c r="E694" s="61"/>
      <c r="F694" s="61"/>
      <c r="G694" s="61"/>
      <c r="H694" s="6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ht="13.2" x14ac:dyDescent="0.25">
      <c r="A695" s="31"/>
      <c r="B695" s="31"/>
      <c r="C695" s="61"/>
      <c r="D695" s="61"/>
      <c r="E695" s="61"/>
      <c r="F695" s="61"/>
      <c r="G695" s="61"/>
      <c r="H695" s="6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ht="13.2" x14ac:dyDescent="0.25">
      <c r="A696" s="31"/>
      <c r="B696" s="31"/>
      <c r="C696" s="61"/>
      <c r="D696" s="61"/>
      <c r="E696" s="61"/>
      <c r="F696" s="61"/>
      <c r="G696" s="61"/>
      <c r="H696" s="6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ht="13.2" x14ac:dyDescent="0.25">
      <c r="A697" s="31"/>
      <c r="B697" s="31"/>
      <c r="C697" s="61"/>
      <c r="D697" s="61"/>
      <c r="E697" s="61"/>
      <c r="F697" s="61"/>
      <c r="G697" s="61"/>
      <c r="H697" s="6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ht="13.2" x14ac:dyDescent="0.25">
      <c r="A698" s="31"/>
      <c r="B698" s="31"/>
      <c r="C698" s="61"/>
      <c r="D698" s="61"/>
      <c r="E698" s="61"/>
      <c r="F698" s="61"/>
      <c r="G698" s="61"/>
      <c r="H698" s="6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ht="13.2" x14ac:dyDescent="0.25">
      <c r="A699" s="31"/>
      <c r="B699" s="31"/>
      <c r="C699" s="61"/>
      <c r="D699" s="61"/>
      <c r="E699" s="61"/>
      <c r="F699" s="61"/>
      <c r="G699" s="61"/>
      <c r="H699" s="6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ht="13.2" x14ac:dyDescent="0.25">
      <c r="A700" s="31"/>
      <c r="B700" s="31"/>
      <c r="C700" s="61"/>
      <c r="D700" s="61"/>
      <c r="E700" s="61"/>
      <c r="F700" s="61"/>
      <c r="G700" s="61"/>
      <c r="H700" s="6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ht="13.2" x14ac:dyDescent="0.25">
      <c r="A701" s="31"/>
      <c r="B701" s="31"/>
      <c r="C701" s="61"/>
      <c r="D701" s="61"/>
      <c r="E701" s="61"/>
      <c r="F701" s="61"/>
      <c r="G701" s="61"/>
      <c r="H701" s="6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ht="13.2" x14ac:dyDescent="0.25">
      <c r="A702" s="31"/>
      <c r="B702" s="31"/>
      <c r="C702" s="61"/>
      <c r="D702" s="61"/>
      <c r="E702" s="61"/>
      <c r="F702" s="61"/>
      <c r="G702" s="61"/>
      <c r="H702" s="6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ht="13.2" x14ac:dyDescent="0.25">
      <c r="A703" s="31"/>
      <c r="B703" s="31"/>
      <c r="C703" s="61"/>
      <c r="D703" s="61"/>
      <c r="E703" s="61"/>
      <c r="F703" s="61"/>
      <c r="G703" s="61"/>
      <c r="H703" s="6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ht="13.2" x14ac:dyDescent="0.25">
      <c r="A704" s="31"/>
      <c r="B704" s="31"/>
      <c r="C704" s="61"/>
      <c r="D704" s="61"/>
      <c r="E704" s="61"/>
      <c r="F704" s="61"/>
      <c r="G704" s="61"/>
      <c r="H704" s="6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ht="13.2" x14ac:dyDescent="0.25">
      <c r="A705" s="31"/>
      <c r="B705" s="31"/>
      <c r="C705" s="61"/>
      <c r="D705" s="61"/>
      <c r="E705" s="61"/>
      <c r="F705" s="61"/>
      <c r="G705" s="61"/>
      <c r="H705" s="6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ht="13.2" x14ac:dyDescent="0.25">
      <c r="A706" s="31"/>
      <c r="B706" s="31"/>
      <c r="C706" s="61"/>
      <c r="D706" s="61"/>
      <c r="E706" s="61"/>
      <c r="F706" s="61"/>
      <c r="G706" s="61"/>
      <c r="H706" s="6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ht="13.2" x14ac:dyDescent="0.25">
      <c r="A707" s="31"/>
      <c r="B707" s="31"/>
      <c r="C707" s="61"/>
      <c r="D707" s="61"/>
      <c r="E707" s="61"/>
      <c r="F707" s="61"/>
      <c r="G707" s="61"/>
      <c r="H707" s="6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ht="13.2" x14ac:dyDescent="0.25">
      <c r="A708" s="31"/>
      <c r="B708" s="31"/>
      <c r="C708" s="61"/>
      <c r="D708" s="61"/>
      <c r="E708" s="61"/>
      <c r="F708" s="61"/>
      <c r="G708" s="61"/>
      <c r="H708" s="6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ht="13.2" x14ac:dyDescent="0.25">
      <c r="A709" s="31"/>
      <c r="B709" s="31"/>
      <c r="C709" s="61"/>
      <c r="D709" s="61"/>
      <c r="E709" s="61"/>
      <c r="F709" s="61"/>
      <c r="G709" s="61"/>
      <c r="H709" s="6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ht="13.2" x14ac:dyDescent="0.25">
      <c r="A710" s="31"/>
      <c r="B710" s="31"/>
      <c r="C710" s="61"/>
      <c r="D710" s="61"/>
      <c r="E710" s="61"/>
      <c r="F710" s="61"/>
      <c r="G710" s="61"/>
      <c r="H710" s="6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ht="13.2" x14ac:dyDescent="0.25">
      <c r="A711" s="31"/>
      <c r="B711" s="31"/>
      <c r="C711" s="61"/>
      <c r="D711" s="61"/>
      <c r="E711" s="61"/>
      <c r="F711" s="61"/>
      <c r="G711" s="61"/>
      <c r="H711" s="6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ht="13.2" x14ac:dyDescent="0.25">
      <c r="A712" s="31"/>
      <c r="B712" s="31"/>
      <c r="C712" s="61"/>
      <c r="D712" s="61"/>
      <c r="E712" s="61"/>
      <c r="F712" s="61"/>
      <c r="G712" s="61"/>
      <c r="H712" s="6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ht="13.2" x14ac:dyDescent="0.25">
      <c r="A713" s="31"/>
      <c r="B713" s="31"/>
      <c r="C713" s="61"/>
      <c r="D713" s="61"/>
      <c r="E713" s="61"/>
      <c r="F713" s="61"/>
      <c r="G713" s="61"/>
      <c r="H713" s="6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ht="13.2" x14ac:dyDescent="0.25">
      <c r="A714" s="31"/>
      <c r="B714" s="31"/>
      <c r="C714" s="61"/>
      <c r="D714" s="61"/>
      <c r="E714" s="61"/>
      <c r="F714" s="61"/>
      <c r="G714" s="61"/>
      <c r="H714" s="6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ht="13.2" x14ac:dyDescent="0.25">
      <c r="A715" s="31"/>
      <c r="B715" s="31"/>
      <c r="C715" s="61"/>
      <c r="D715" s="61"/>
      <c r="E715" s="61"/>
      <c r="F715" s="61"/>
      <c r="G715" s="61"/>
      <c r="H715" s="6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ht="13.2" x14ac:dyDescent="0.25">
      <c r="A716" s="31"/>
      <c r="B716" s="31"/>
      <c r="C716" s="61"/>
      <c r="D716" s="61"/>
      <c r="E716" s="61"/>
      <c r="F716" s="61"/>
      <c r="G716" s="61"/>
      <c r="H716" s="6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ht="13.2" x14ac:dyDescent="0.25">
      <c r="A717" s="31"/>
      <c r="B717" s="31"/>
      <c r="C717" s="61"/>
      <c r="D717" s="61"/>
      <c r="E717" s="61"/>
      <c r="F717" s="61"/>
      <c r="G717" s="61"/>
      <c r="H717" s="6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ht="13.2" x14ac:dyDescent="0.25">
      <c r="A718" s="31"/>
      <c r="B718" s="31"/>
      <c r="C718" s="61"/>
      <c r="D718" s="61"/>
      <c r="E718" s="61"/>
      <c r="F718" s="61"/>
      <c r="G718" s="61"/>
      <c r="H718" s="6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ht="13.2" x14ac:dyDescent="0.25">
      <c r="A719" s="31"/>
      <c r="B719" s="31"/>
      <c r="C719" s="61"/>
      <c r="D719" s="61"/>
      <c r="E719" s="61"/>
      <c r="F719" s="61"/>
      <c r="G719" s="61"/>
      <c r="H719" s="6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ht="13.2" x14ac:dyDescent="0.25">
      <c r="A720" s="31"/>
      <c r="B720" s="31"/>
      <c r="C720" s="61"/>
      <c r="D720" s="61"/>
      <c r="E720" s="61"/>
      <c r="F720" s="61"/>
      <c r="G720" s="61"/>
      <c r="H720" s="6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ht="13.2" x14ac:dyDescent="0.25">
      <c r="A721" s="31"/>
      <c r="B721" s="31"/>
      <c r="C721" s="61"/>
      <c r="D721" s="61"/>
      <c r="E721" s="61"/>
      <c r="F721" s="61"/>
      <c r="G721" s="61"/>
      <c r="H721" s="6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ht="13.2" x14ac:dyDescent="0.25">
      <c r="A722" s="31"/>
      <c r="B722" s="31"/>
      <c r="C722" s="61"/>
      <c r="D722" s="61"/>
      <c r="E722" s="61"/>
      <c r="F722" s="61"/>
      <c r="G722" s="61"/>
      <c r="H722" s="6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ht="13.2" x14ac:dyDescent="0.25">
      <c r="A723" s="31"/>
      <c r="B723" s="31"/>
      <c r="C723" s="61"/>
      <c r="D723" s="61"/>
      <c r="E723" s="61"/>
      <c r="F723" s="61"/>
      <c r="G723" s="61"/>
      <c r="H723" s="6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ht="13.2" x14ac:dyDescent="0.25">
      <c r="A724" s="31"/>
      <c r="B724" s="31"/>
      <c r="C724" s="61"/>
      <c r="D724" s="61"/>
      <c r="E724" s="61"/>
      <c r="F724" s="61"/>
      <c r="G724" s="61"/>
      <c r="H724" s="6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ht="13.2" x14ac:dyDescent="0.25">
      <c r="A725" s="31"/>
      <c r="B725" s="31"/>
      <c r="C725" s="61"/>
      <c r="D725" s="61"/>
      <c r="E725" s="61"/>
      <c r="F725" s="61"/>
      <c r="G725" s="61"/>
      <c r="H725" s="6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ht="13.2" x14ac:dyDescent="0.25">
      <c r="A726" s="31"/>
      <c r="B726" s="31"/>
      <c r="C726" s="61"/>
      <c r="D726" s="61"/>
      <c r="E726" s="61"/>
      <c r="F726" s="61"/>
      <c r="G726" s="61"/>
      <c r="H726" s="6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ht="13.2" x14ac:dyDescent="0.25">
      <c r="A727" s="31"/>
      <c r="B727" s="31"/>
      <c r="C727" s="61"/>
      <c r="D727" s="61"/>
      <c r="E727" s="61"/>
      <c r="F727" s="61"/>
      <c r="G727" s="61"/>
      <c r="H727" s="6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ht="13.2" x14ac:dyDescent="0.25">
      <c r="A728" s="31"/>
      <c r="B728" s="31"/>
      <c r="C728" s="61"/>
      <c r="D728" s="61"/>
      <c r="E728" s="61"/>
      <c r="F728" s="61"/>
      <c r="G728" s="61"/>
      <c r="H728" s="6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ht="13.2" x14ac:dyDescent="0.25">
      <c r="A729" s="31"/>
      <c r="B729" s="31"/>
      <c r="C729" s="61"/>
      <c r="D729" s="61"/>
      <c r="E729" s="61"/>
      <c r="F729" s="61"/>
      <c r="G729" s="61"/>
      <c r="H729" s="6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ht="13.2" x14ac:dyDescent="0.25">
      <c r="A730" s="31"/>
      <c r="B730" s="31"/>
      <c r="C730" s="61"/>
      <c r="D730" s="61"/>
      <c r="E730" s="61"/>
      <c r="F730" s="61"/>
      <c r="G730" s="61"/>
      <c r="H730" s="6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ht="13.2" x14ac:dyDescent="0.25">
      <c r="A731" s="31"/>
      <c r="B731" s="31"/>
      <c r="C731" s="61"/>
      <c r="D731" s="61"/>
      <c r="E731" s="61"/>
      <c r="F731" s="61"/>
      <c r="G731" s="61"/>
      <c r="H731" s="6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ht="13.2" x14ac:dyDescent="0.25">
      <c r="A732" s="31"/>
      <c r="B732" s="31"/>
      <c r="C732" s="61"/>
      <c r="D732" s="61"/>
      <c r="E732" s="61"/>
      <c r="F732" s="61"/>
      <c r="G732" s="61"/>
      <c r="H732" s="6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ht="13.2" x14ac:dyDescent="0.25">
      <c r="A733" s="31"/>
      <c r="B733" s="31"/>
      <c r="C733" s="61"/>
      <c r="D733" s="61"/>
      <c r="E733" s="61"/>
      <c r="F733" s="61"/>
      <c r="G733" s="61"/>
      <c r="H733" s="6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ht="13.2" x14ac:dyDescent="0.25">
      <c r="A734" s="31"/>
      <c r="B734" s="31"/>
      <c r="C734" s="61"/>
      <c r="D734" s="61"/>
      <c r="E734" s="61"/>
      <c r="F734" s="61"/>
      <c r="G734" s="61"/>
      <c r="H734" s="6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ht="13.2" x14ac:dyDescent="0.25">
      <c r="A735" s="31"/>
      <c r="B735" s="31"/>
      <c r="C735" s="61"/>
      <c r="D735" s="61"/>
      <c r="E735" s="61"/>
      <c r="F735" s="61"/>
      <c r="G735" s="61"/>
      <c r="H735" s="6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ht="13.2" x14ac:dyDescent="0.25">
      <c r="A736" s="31"/>
      <c r="B736" s="31"/>
      <c r="C736" s="61"/>
      <c r="D736" s="61"/>
      <c r="E736" s="61"/>
      <c r="F736" s="61"/>
      <c r="G736" s="61"/>
      <c r="H736" s="6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ht="13.2" x14ac:dyDescent="0.25">
      <c r="A737" s="31"/>
      <c r="B737" s="31"/>
      <c r="C737" s="61"/>
      <c r="D737" s="61"/>
      <c r="E737" s="61"/>
      <c r="F737" s="61"/>
      <c r="G737" s="61"/>
      <c r="H737" s="6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ht="13.2" x14ac:dyDescent="0.25">
      <c r="A738" s="31"/>
      <c r="B738" s="31"/>
      <c r="C738" s="61"/>
      <c r="D738" s="61"/>
      <c r="E738" s="61"/>
      <c r="F738" s="61"/>
      <c r="G738" s="61"/>
      <c r="H738" s="6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ht="13.2" x14ac:dyDescent="0.25">
      <c r="A739" s="31"/>
      <c r="B739" s="31"/>
      <c r="C739" s="61"/>
      <c r="D739" s="61"/>
      <c r="E739" s="61"/>
      <c r="F739" s="61"/>
      <c r="G739" s="61"/>
      <c r="H739" s="6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ht="13.2" x14ac:dyDescent="0.25">
      <c r="A740" s="31"/>
      <c r="B740" s="31"/>
      <c r="C740" s="61"/>
      <c r="D740" s="61"/>
      <c r="E740" s="61"/>
      <c r="F740" s="61"/>
      <c r="G740" s="61"/>
      <c r="H740" s="6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ht="13.2" x14ac:dyDescent="0.25">
      <c r="A741" s="31"/>
      <c r="B741" s="31"/>
      <c r="C741" s="61"/>
      <c r="D741" s="61"/>
      <c r="E741" s="61"/>
      <c r="F741" s="61"/>
      <c r="G741" s="61"/>
      <c r="H741" s="6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ht="13.2" x14ac:dyDescent="0.25">
      <c r="A742" s="31"/>
      <c r="B742" s="31"/>
      <c r="C742" s="61"/>
      <c r="D742" s="61"/>
      <c r="E742" s="61"/>
      <c r="F742" s="61"/>
      <c r="G742" s="61"/>
      <c r="H742" s="6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ht="13.2" x14ac:dyDescent="0.25">
      <c r="A743" s="31"/>
      <c r="B743" s="31"/>
      <c r="C743" s="61"/>
      <c r="D743" s="61"/>
      <c r="E743" s="61"/>
      <c r="F743" s="61"/>
      <c r="G743" s="61"/>
      <c r="H743" s="6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ht="13.2" x14ac:dyDescent="0.25">
      <c r="A744" s="31"/>
      <c r="B744" s="31"/>
      <c r="C744" s="61"/>
      <c r="D744" s="61"/>
      <c r="E744" s="61"/>
      <c r="F744" s="61"/>
      <c r="G744" s="61"/>
      <c r="H744" s="6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ht="13.2" x14ac:dyDescent="0.25">
      <c r="A745" s="31"/>
      <c r="B745" s="31"/>
      <c r="C745" s="61"/>
      <c r="D745" s="61"/>
      <c r="E745" s="61"/>
      <c r="F745" s="61"/>
      <c r="G745" s="61"/>
      <c r="H745" s="6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ht="13.2" x14ac:dyDescent="0.25">
      <c r="A746" s="31"/>
      <c r="B746" s="31"/>
      <c r="C746" s="61"/>
      <c r="D746" s="61"/>
      <c r="E746" s="61"/>
      <c r="F746" s="61"/>
      <c r="G746" s="61"/>
      <c r="H746" s="6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ht="13.2" x14ac:dyDescent="0.25">
      <c r="A747" s="31"/>
      <c r="B747" s="31"/>
      <c r="C747" s="61"/>
      <c r="D747" s="61"/>
      <c r="E747" s="61"/>
      <c r="F747" s="61"/>
      <c r="G747" s="61"/>
      <c r="H747" s="6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ht="13.2" x14ac:dyDescent="0.25">
      <c r="A748" s="31"/>
      <c r="B748" s="31"/>
      <c r="C748" s="61"/>
      <c r="D748" s="61"/>
      <c r="E748" s="61"/>
      <c r="F748" s="61"/>
      <c r="G748" s="61"/>
      <c r="H748" s="6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ht="13.2" x14ac:dyDescent="0.25">
      <c r="A749" s="31"/>
      <c r="B749" s="31"/>
      <c r="C749" s="61"/>
      <c r="D749" s="61"/>
      <c r="E749" s="61"/>
      <c r="F749" s="61"/>
      <c r="G749" s="61"/>
      <c r="H749" s="6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ht="13.2" x14ac:dyDescent="0.25">
      <c r="A750" s="31"/>
      <c r="B750" s="31"/>
      <c r="C750" s="61"/>
      <c r="D750" s="61"/>
      <c r="E750" s="61"/>
      <c r="F750" s="61"/>
      <c r="G750" s="61"/>
      <c r="H750" s="6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ht="13.2" x14ac:dyDescent="0.25">
      <c r="A751" s="31"/>
      <c r="B751" s="31"/>
      <c r="C751" s="61"/>
      <c r="D751" s="61"/>
      <c r="E751" s="61"/>
      <c r="F751" s="61"/>
      <c r="G751" s="61"/>
      <c r="H751" s="6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ht="13.2" x14ac:dyDescent="0.25">
      <c r="A752" s="31"/>
      <c r="B752" s="31"/>
      <c r="C752" s="61"/>
      <c r="D752" s="61"/>
      <c r="E752" s="61"/>
      <c r="F752" s="61"/>
      <c r="G752" s="61"/>
      <c r="H752" s="6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ht="13.2" x14ac:dyDescent="0.25">
      <c r="A753" s="31"/>
      <c r="B753" s="31"/>
      <c r="C753" s="61"/>
      <c r="D753" s="61"/>
      <c r="E753" s="61"/>
      <c r="F753" s="61"/>
      <c r="G753" s="61"/>
      <c r="H753" s="6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ht="13.2" x14ac:dyDescent="0.25">
      <c r="A754" s="31"/>
      <c r="B754" s="31"/>
      <c r="C754" s="61"/>
      <c r="D754" s="61"/>
      <c r="E754" s="61"/>
      <c r="F754" s="61"/>
      <c r="G754" s="61"/>
      <c r="H754" s="6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ht="13.2" x14ac:dyDescent="0.25">
      <c r="A755" s="31"/>
      <c r="B755" s="31"/>
      <c r="C755" s="61"/>
      <c r="D755" s="61"/>
      <c r="E755" s="61"/>
      <c r="F755" s="61"/>
      <c r="G755" s="61"/>
      <c r="H755" s="6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ht="13.2" x14ac:dyDescent="0.25">
      <c r="A756" s="31"/>
      <c r="B756" s="31"/>
      <c r="C756" s="61"/>
      <c r="D756" s="61"/>
      <c r="E756" s="61"/>
      <c r="F756" s="61"/>
      <c r="G756" s="61"/>
      <c r="H756" s="6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ht="13.2" x14ac:dyDescent="0.25">
      <c r="A757" s="31"/>
      <c r="B757" s="31"/>
      <c r="C757" s="61"/>
      <c r="D757" s="61"/>
      <c r="E757" s="61"/>
      <c r="F757" s="61"/>
      <c r="G757" s="61"/>
      <c r="H757" s="6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ht="13.2" x14ac:dyDescent="0.25">
      <c r="A758" s="31"/>
      <c r="B758" s="31"/>
      <c r="C758" s="61"/>
      <c r="D758" s="61"/>
      <c r="E758" s="61"/>
      <c r="F758" s="61"/>
      <c r="G758" s="61"/>
      <c r="H758" s="6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ht="13.2" x14ac:dyDescent="0.25">
      <c r="A759" s="31"/>
      <c r="B759" s="31"/>
      <c r="C759" s="61"/>
      <c r="D759" s="61"/>
      <c r="E759" s="61"/>
      <c r="F759" s="61"/>
      <c r="G759" s="61"/>
      <c r="H759" s="6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ht="13.2" x14ac:dyDescent="0.25">
      <c r="A760" s="31"/>
      <c r="B760" s="31"/>
      <c r="C760" s="61"/>
      <c r="D760" s="61"/>
      <c r="E760" s="61"/>
      <c r="F760" s="61"/>
      <c r="G760" s="61"/>
      <c r="H760" s="6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ht="13.2" x14ac:dyDescent="0.25">
      <c r="A761" s="31"/>
      <c r="B761" s="31"/>
      <c r="C761" s="61"/>
      <c r="D761" s="61"/>
      <c r="E761" s="61"/>
      <c r="F761" s="61"/>
      <c r="G761" s="61"/>
      <c r="H761" s="6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ht="13.2" x14ac:dyDescent="0.25">
      <c r="A762" s="31"/>
      <c r="B762" s="31"/>
      <c r="C762" s="61"/>
      <c r="D762" s="61"/>
      <c r="E762" s="61"/>
      <c r="F762" s="61"/>
      <c r="G762" s="61"/>
      <c r="H762" s="6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ht="13.2" x14ac:dyDescent="0.25">
      <c r="A763" s="31"/>
      <c r="B763" s="31"/>
      <c r="C763" s="61"/>
      <c r="D763" s="61"/>
      <c r="E763" s="61"/>
      <c r="F763" s="61"/>
      <c r="G763" s="61"/>
      <c r="H763" s="6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ht="13.2" x14ac:dyDescent="0.25">
      <c r="A764" s="31"/>
      <c r="B764" s="31"/>
      <c r="C764" s="61"/>
      <c r="D764" s="61"/>
      <c r="E764" s="61"/>
      <c r="F764" s="61"/>
      <c r="G764" s="61"/>
      <c r="H764" s="6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ht="13.2" x14ac:dyDescent="0.25">
      <c r="A765" s="31"/>
      <c r="B765" s="31"/>
      <c r="C765" s="61"/>
      <c r="D765" s="61"/>
      <c r="E765" s="61"/>
      <c r="F765" s="61"/>
      <c r="G765" s="61"/>
      <c r="H765" s="6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ht="13.2" x14ac:dyDescent="0.25">
      <c r="A766" s="31"/>
      <c r="B766" s="31"/>
      <c r="C766" s="61"/>
      <c r="D766" s="61"/>
      <c r="E766" s="61"/>
      <c r="F766" s="61"/>
      <c r="G766" s="61"/>
      <c r="H766" s="6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ht="13.2" x14ac:dyDescent="0.25">
      <c r="A767" s="31"/>
      <c r="B767" s="31"/>
      <c r="C767" s="61"/>
      <c r="D767" s="61"/>
      <c r="E767" s="61"/>
      <c r="F767" s="61"/>
      <c r="G767" s="61"/>
      <c r="H767" s="6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ht="13.2" x14ac:dyDescent="0.25">
      <c r="A768" s="31"/>
      <c r="B768" s="31"/>
      <c r="C768" s="61"/>
      <c r="D768" s="61"/>
      <c r="E768" s="61"/>
      <c r="F768" s="61"/>
      <c r="G768" s="61"/>
      <c r="H768" s="6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ht="13.2" x14ac:dyDescent="0.25">
      <c r="A769" s="31"/>
      <c r="B769" s="31"/>
      <c r="C769" s="61"/>
      <c r="D769" s="61"/>
      <c r="E769" s="61"/>
      <c r="F769" s="61"/>
      <c r="G769" s="61"/>
      <c r="H769" s="6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ht="13.2" x14ac:dyDescent="0.25">
      <c r="A770" s="31"/>
      <c r="B770" s="31"/>
      <c r="C770" s="61"/>
      <c r="D770" s="61"/>
      <c r="E770" s="61"/>
      <c r="F770" s="61"/>
      <c r="G770" s="61"/>
      <c r="H770" s="6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ht="13.2" x14ac:dyDescent="0.25">
      <c r="A771" s="31"/>
      <c r="B771" s="31"/>
      <c r="C771" s="61"/>
      <c r="D771" s="61"/>
      <c r="E771" s="61"/>
      <c r="F771" s="61"/>
      <c r="G771" s="61"/>
      <c r="H771" s="6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ht="13.2" x14ac:dyDescent="0.25">
      <c r="A772" s="31"/>
      <c r="B772" s="31"/>
      <c r="C772" s="61"/>
      <c r="D772" s="61"/>
      <c r="E772" s="61"/>
      <c r="F772" s="61"/>
      <c r="G772" s="61"/>
      <c r="H772" s="6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ht="13.2" x14ac:dyDescent="0.25">
      <c r="A773" s="31"/>
      <c r="B773" s="31"/>
      <c r="C773" s="61"/>
      <c r="D773" s="61"/>
      <c r="E773" s="61"/>
      <c r="F773" s="61"/>
      <c r="G773" s="61"/>
      <c r="H773" s="6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ht="13.2" x14ac:dyDescent="0.25">
      <c r="A774" s="31"/>
      <c r="B774" s="31"/>
      <c r="C774" s="61"/>
      <c r="D774" s="61"/>
      <c r="E774" s="61"/>
      <c r="F774" s="61"/>
      <c r="G774" s="61"/>
      <c r="H774" s="6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ht="13.2" x14ac:dyDescent="0.25">
      <c r="A775" s="31"/>
      <c r="B775" s="31"/>
      <c r="C775" s="61"/>
      <c r="D775" s="61"/>
      <c r="E775" s="61"/>
      <c r="F775" s="61"/>
      <c r="G775" s="61"/>
      <c r="H775" s="6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ht="13.2" x14ac:dyDescent="0.25">
      <c r="A776" s="31"/>
      <c r="B776" s="31"/>
      <c r="C776" s="61"/>
      <c r="D776" s="61"/>
      <c r="E776" s="61"/>
      <c r="F776" s="61"/>
      <c r="G776" s="61"/>
      <c r="H776" s="6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ht="13.2" x14ac:dyDescent="0.25">
      <c r="A777" s="31"/>
      <c r="B777" s="31"/>
      <c r="C777" s="61"/>
      <c r="D777" s="61"/>
      <c r="E777" s="61"/>
      <c r="F777" s="61"/>
      <c r="G777" s="61"/>
      <c r="H777" s="6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ht="13.2" x14ac:dyDescent="0.25">
      <c r="A778" s="31"/>
      <c r="B778" s="31"/>
      <c r="C778" s="61"/>
      <c r="D778" s="61"/>
      <c r="E778" s="61"/>
      <c r="F778" s="61"/>
      <c r="G778" s="61"/>
      <c r="H778" s="6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ht="13.2" x14ac:dyDescent="0.25">
      <c r="A779" s="31"/>
      <c r="B779" s="31"/>
      <c r="C779" s="61"/>
      <c r="D779" s="61"/>
      <c r="E779" s="61"/>
      <c r="F779" s="61"/>
      <c r="G779" s="61"/>
      <c r="H779" s="6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ht="13.2" x14ac:dyDescent="0.25">
      <c r="A780" s="31"/>
      <c r="B780" s="31"/>
      <c r="C780" s="61"/>
      <c r="D780" s="61"/>
      <c r="E780" s="61"/>
      <c r="F780" s="61"/>
      <c r="G780" s="61"/>
      <c r="H780" s="6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ht="13.2" x14ac:dyDescent="0.25">
      <c r="A781" s="31"/>
      <c r="B781" s="31"/>
      <c r="C781" s="61"/>
      <c r="D781" s="61"/>
      <c r="E781" s="61"/>
      <c r="F781" s="61"/>
      <c r="G781" s="61"/>
      <c r="H781" s="6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ht="13.2" x14ac:dyDescent="0.25">
      <c r="A782" s="31"/>
      <c r="B782" s="31"/>
      <c r="C782" s="61"/>
      <c r="D782" s="61"/>
      <c r="E782" s="61"/>
      <c r="F782" s="61"/>
      <c r="G782" s="61"/>
      <c r="H782" s="6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ht="13.2" x14ac:dyDescent="0.25">
      <c r="A783" s="31"/>
      <c r="B783" s="31"/>
      <c r="C783" s="61"/>
      <c r="D783" s="61"/>
      <c r="E783" s="61"/>
      <c r="F783" s="61"/>
      <c r="G783" s="61"/>
      <c r="H783" s="6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ht="13.2" x14ac:dyDescent="0.25">
      <c r="A784" s="31"/>
      <c r="B784" s="31"/>
      <c r="C784" s="61"/>
      <c r="D784" s="61"/>
      <c r="E784" s="61"/>
      <c r="F784" s="61"/>
      <c r="G784" s="61"/>
      <c r="H784" s="6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ht="13.2" x14ac:dyDescent="0.25">
      <c r="A785" s="31"/>
      <c r="B785" s="31"/>
      <c r="C785" s="61"/>
      <c r="D785" s="61"/>
      <c r="E785" s="61"/>
      <c r="F785" s="61"/>
      <c r="G785" s="61"/>
      <c r="H785" s="6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ht="13.2" x14ac:dyDescent="0.25">
      <c r="A786" s="31"/>
      <c r="B786" s="31"/>
      <c r="C786" s="61"/>
      <c r="D786" s="61"/>
      <c r="E786" s="61"/>
      <c r="F786" s="61"/>
      <c r="G786" s="61"/>
      <c r="H786" s="6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ht="13.2" x14ac:dyDescent="0.25">
      <c r="A787" s="31"/>
      <c r="B787" s="31"/>
      <c r="C787" s="61"/>
      <c r="D787" s="61"/>
      <c r="E787" s="61"/>
      <c r="F787" s="61"/>
      <c r="G787" s="61"/>
      <c r="H787" s="6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ht="13.2" x14ac:dyDescent="0.25">
      <c r="A788" s="31"/>
      <c r="B788" s="31"/>
      <c r="C788" s="61"/>
      <c r="D788" s="61"/>
      <c r="E788" s="61"/>
      <c r="F788" s="61"/>
      <c r="G788" s="61"/>
      <c r="H788" s="6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ht="13.2" x14ac:dyDescent="0.25">
      <c r="A789" s="31"/>
      <c r="B789" s="31"/>
      <c r="C789" s="61"/>
      <c r="D789" s="61"/>
      <c r="E789" s="61"/>
      <c r="F789" s="61"/>
      <c r="G789" s="61"/>
      <c r="H789" s="6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ht="13.2" x14ac:dyDescent="0.25">
      <c r="A790" s="31"/>
      <c r="B790" s="31"/>
      <c r="C790" s="61"/>
      <c r="D790" s="61"/>
      <c r="E790" s="61"/>
      <c r="F790" s="61"/>
      <c r="G790" s="61"/>
      <c r="H790" s="6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ht="13.2" x14ac:dyDescent="0.25">
      <c r="A791" s="31"/>
      <c r="B791" s="31"/>
      <c r="C791" s="61"/>
      <c r="D791" s="61"/>
      <c r="E791" s="61"/>
      <c r="F791" s="61"/>
      <c r="G791" s="61"/>
      <c r="H791" s="6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ht="13.2" x14ac:dyDescent="0.25">
      <c r="A792" s="31"/>
      <c r="B792" s="31"/>
      <c r="C792" s="61"/>
      <c r="D792" s="61"/>
      <c r="E792" s="61"/>
      <c r="F792" s="61"/>
      <c r="G792" s="61"/>
      <c r="H792" s="6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ht="13.2" x14ac:dyDescent="0.25">
      <c r="A793" s="31"/>
      <c r="B793" s="31"/>
      <c r="C793" s="61"/>
      <c r="D793" s="61"/>
      <c r="E793" s="61"/>
      <c r="F793" s="61"/>
      <c r="G793" s="61"/>
      <c r="H793" s="6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ht="13.2" x14ac:dyDescent="0.25">
      <c r="A794" s="31"/>
      <c r="B794" s="31"/>
      <c r="C794" s="61"/>
      <c r="D794" s="61"/>
      <c r="E794" s="61"/>
      <c r="F794" s="61"/>
      <c r="G794" s="61"/>
      <c r="H794" s="6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ht="13.2" x14ac:dyDescent="0.25">
      <c r="A795" s="31"/>
      <c r="B795" s="31"/>
      <c r="C795" s="61"/>
      <c r="D795" s="61"/>
      <c r="E795" s="61"/>
      <c r="F795" s="61"/>
      <c r="G795" s="61"/>
      <c r="H795" s="6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ht="13.2" x14ac:dyDescent="0.25">
      <c r="A796" s="31"/>
      <c r="B796" s="31"/>
      <c r="C796" s="61"/>
      <c r="D796" s="61"/>
      <c r="E796" s="61"/>
      <c r="F796" s="61"/>
      <c r="G796" s="61"/>
      <c r="H796" s="6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ht="13.2" x14ac:dyDescent="0.25">
      <c r="A797" s="31"/>
      <c r="B797" s="31"/>
      <c r="C797" s="61"/>
      <c r="D797" s="61"/>
      <c r="E797" s="61"/>
      <c r="F797" s="61"/>
      <c r="G797" s="61"/>
      <c r="H797" s="6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ht="13.2" x14ac:dyDescent="0.25">
      <c r="A798" s="31"/>
      <c r="B798" s="31"/>
      <c r="C798" s="61"/>
      <c r="D798" s="61"/>
      <c r="E798" s="61"/>
      <c r="F798" s="61"/>
      <c r="G798" s="61"/>
      <c r="H798" s="6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ht="13.2" x14ac:dyDescent="0.25">
      <c r="A799" s="31"/>
      <c r="B799" s="31"/>
      <c r="C799" s="61"/>
      <c r="D799" s="61"/>
      <c r="E799" s="61"/>
      <c r="F799" s="61"/>
      <c r="G799" s="61"/>
      <c r="H799" s="6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ht="13.2" x14ac:dyDescent="0.25">
      <c r="A800" s="31"/>
      <c r="B800" s="31"/>
      <c r="C800" s="61"/>
      <c r="D800" s="61"/>
      <c r="E800" s="61"/>
      <c r="F800" s="61"/>
      <c r="G800" s="61"/>
      <c r="H800" s="6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ht="13.2" x14ac:dyDescent="0.25">
      <c r="A801" s="31"/>
      <c r="B801" s="31"/>
      <c r="C801" s="61"/>
      <c r="D801" s="61"/>
      <c r="E801" s="61"/>
      <c r="F801" s="61"/>
      <c r="G801" s="61"/>
      <c r="H801" s="6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ht="13.2" x14ac:dyDescent="0.25">
      <c r="A802" s="31"/>
      <c r="B802" s="31"/>
      <c r="C802" s="61"/>
      <c r="D802" s="61"/>
      <c r="E802" s="61"/>
      <c r="F802" s="61"/>
      <c r="G802" s="61"/>
      <c r="H802" s="6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ht="13.2" x14ac:dyDescent="0.25">
      <c r="A803" s="31"/>
      <c r="B803" s="31"/>
      <c r="C803" s="61"/>
      <c r="D803" s="61"/>
      <c r="E803" s="61"/>
      <c r="F803" s="61"/>
      <c r="G803" s="61"/>
      <c r="H803" s="6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ht="13.2" x14ac:dyDescent="0.25">
      <c r="A804" s="31"/>
      <c r="B804" s="31"/>
      <c r="C804" s="61"/>
      <c r="D804" s="61"/>
      <c r="E804" s="61"/>
      <c r="F804" s="61"/>
      <c r="G804" s="61"/>
      <c r="H804" s="6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ht="13.2" x14ac:dyDescent="0.25">
      <c r="A805" s="31"/>
      <c r="B805" s="31"/>
      <c r="C805" s="61"/>
      <c r="D805" s="61"/>
      <c r="E805" s="61"/>
      <c r="F805" s="61"/>
      <c r="G805" s="61"/>
      <c r="H805" s="6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ht="13.2" x14ac:dyDescent="0.25">
      <c r="A806" s="31"/>
      <c r="B806" s="31"/>
      <c r="C806" s="61"/>
      <c r="D806" s="61"/>
      <c r="E806" s="61"/>
      <c r="F806" s="61"/>
      <c r="G806" s="61"/>
      <c r="H806" s="6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ht="13.2" x14ac:dyDescent="0.25">
      <c r="A807" s="31"/>
      <c r="B807" s="31"/>
      <c r="C807" s="61"/>
      <c r="D807" s="61"/>
      <c r="E807" s="61"/>
      <c r="F807" s="61"/>
      <c r="G807" s="61"/>
      <c r="H807" s="6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ht="13.2" x14ac:dyDescent="0.25">
      <c r="A808" s="31"/>
      <c r="B808" s="31"/>
      <c r="C808" s="61"/>
      <c r="D808" s="61"/>
      <c r="E808" s="61"/>
      <c r="F808" s="61"/>
      <c r="G808" s="61"/>
      <c r="H808" s="6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ht="13.2" x14ac:dyDescent="0.25">
      <c r="A809" s="31"/>
      <c r="B809" s="31"/>
      <c r="C809" s="61"/>
      <c r="D809" s="61"/>
      <c r="E809" s="61"/>
      <c r="F809" s="61"/>
      <c r="G809" s="61"/>
      <c r="H809" s="6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ht="13.2" x14ac:dyDescent="0.25">
      <c r="A810" s="31"/>
      <c r="B810" s="31"/>
      <c r="C810" s="61"/>
      <c r="D810" s="61"/>
      <c r="E810" s="61"/>
      <c r="F810" s="61"/>
      <c r="G810" s="61"/>
      <c r="H810" s="6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ht="13.2" x14ac:dyDescent="0.25">
      <c r="A811" s="31"/>
      <c r="B811" s="31"/>
      <c r="C811" s="61"/>
      <c r="D811" s="61"/>
      <c r="E811" s="61"/>
      <c r="F811" s="61"/>
      <c r="G811" s="61"/>
      <c r="H811" s="6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ht="13.2" x14ac:dyDescent="0.25">
      <c r="A812" s="31"/>
      <c r="B812" s="31"/>
      <c r="C812" s="61"/>
      <c r="D812" s="61"/>
      <c r="E812" s="61"/>
      <c r="F812" s="61"/>
      <c r="G812" s="61"/>
      <c r="H812" s="6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ht="13.2" x14ac:dyDescent="0.25">
      <c r="A813" s="31"/>
      <c r="B813" s="31"/>
      <c r="C813" s="61"/>
      <c r="D813" s="61"/>
      <c r="E813" s="61"/>
      <c r="F813" s="61"/>
      <c r="G813" s="61"/>
      <c r="H813" s="6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ht="13.2" x14ac:dyDescent="0.25">
      <c r="A814" s="31"/>
      <c r="B814" s="31"/>
      <c r="C814" s="61"/>
      <c r="D814" s="61"/>
      <c r="E814" s="61"/>
      <c r="F814" s="61"/>
      <c r="G814" s="61"/>
      <c r="H814" s="6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ht="13.2" x14ac:dyDescent="0.25">
      <c r="A815" s="31"/>
      <c r="B815" s="31"/>
      <c r="C815" s="61"/>
      <c r="D815" s="61"/>
      <c r="E815" s="61"/>
      <c r="F815" s="61"/>
      <c r="G815" s="61"/>
      <c r="H815" s="6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ht="13.2" x14ac:dyDescent="0.25">
      <c r="A816" s="31"/>
      <c r="B816" s="31"/>
      <c r="C816" s="61"/>
      <c r="D816" s="61"/>
      <c r="E816" s="61"/>
      <c r="F816" s="61"/>
      <c r="G816" s="61"/>
      <c r="H816" s="6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ht="13.2" x14ac:dyDescent="0.25">
      <c r="A817" s="31"/>
      <c r="B817" s="31"/>
      <c r="C817" s="61"/>
      <c r="D817" s="61"/>
      <c r="E817" s="61"/>
      <c r="F817" s="61"/>
      <c r="G817" s="61"/>
      <c r="H817" s="6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ht="13.2" x14ac:dyDescent="0.25">
      <c r="A818" s="31"/>
      <c r="B818" s="31"/>
      <c r="C818" s="61"/>
      <c r="D818" s="61"/>
      <c r="E818" s="61"/>
      <c r="F818" s="61"/>
      <c r="G818" s="61"/>
      <c r="H818" s="6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ht="13.2" x14ac:dyDescent="0.25">
      <c r="A819" s="31"/>
      <c r="B819" s="31"/>
      <c r="C819" s="61"/>
      <c r="D819" s="61"/>
      <c r="E819" s="61"/>
      <c r="F819" s="61"/>
      <c r="G819" s="61"/>
      <c r="H819" s="6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ht="13.2" x14ac:dyDescent="0.25">
      <c r="A820" s="31"/>
      <c r="B820" s="31"/>
      <c r="C820" s="61"/>
      <c r="D820" s="61"/>
      <c r="E820" s="61"/>
      <c r="F820" s="61"/>
      <c r="G820" s="61"/>
      <c r="H820" s="6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ht="13.2" x14ac:dyDescent="0.25">
      <c r="A821" s="31"/>
      <c r="B821" s="31"/>
      <c r="C821" s="61"/>
      <c r="D821" s="61"/>
      <c r="E821" s="61"/>
      <c r="F821" s="61"/>
      <c r="G821" s="61"/>
      <c r="H821" s="6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ht="13.2" x14ac:dyDescent="0.25">
      <c r="A822" s="31"/>
      <c r="B822" s="31"/>
      <c r="C822" s="61"/>
      <c r="D822" s="61"/>
      <c r="E822" s="61"/>
      <c r="F822" s="61"/>
      <c r="G822" s="61"/>
      <c r="H822" s="6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ht="13.2" x14ac:dyDescent="0.25">
      <c r="A823" s="31"/>
      <c r="B823" s="31"/>
      <c r="C823" s="61"/>
      <c r="D823" s="61"/>
      <c r="E823" s="61"/>
      <c r="F823" s="61"/>
      <c r="G823" s="61"/>
      <c r="H823" s="6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ht="13.2" x14ac:dyDescent="0.25">
      <c r="A824" s="31"/>
      <c r="B824" s="31"/>
      <c r="C824" s="61"/>
      <c r="D824" s="61"/>
      <c r="E824" s="61"/>
      <c r="F824" s="61"/>
      <c r="G824" s="61"/>
      <c r="H824" s="6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ht="13.2" x14ac:dyDescent="0.25">
      <c r="A825" s="31"/>
      <c r="B825" s="31"/>
      <c r="C825" s="61"/>
      <c r="D825" s="61"/>
      <c r="E825" s="61"/>
      <c r="F825" s="61"/>
      <c r="G825" s="61"/>
      <c r="H825" s="6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ht="13.2" x14ac:dyDescent="0.25">
      <c r="A826" s="31"/>
      <c r="B826" s="31"/>
      <c r="C826" s="61"/>
      <c r="D826" s="61"/>
      <c r="E826" s="61"/>
      <c r="F826" s="61"/>
      <c r="G826" s="61"/>
      <c r="H826" s="6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ht="13.2" x14ac:dyDescent="0.25">
      <c r="A827" s="31"/>
      <c r="B827" s="31"/>
      <c r="C827" s="61"/>
      <c r="D827" s="61"/>
      <c r="E827" s="61"/>
      <c r="F827" s="61"/>
      <c r="G827" s="61"/>
      <c r="H827" s="6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ht="13.2" x14ac:dyDescent="0.25">
      <c r="A828" s="31"/>
      <c r="B828" s="31"/>
      <c r="C828" s="61"/>
      <c r="D828" s="61"/>
      <c r="E828" s="61"/>
      <c r="F828" s="61"/>
      <c r="G828" s="61"/>
      <c r="H828" s="6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ht="13.2" x14ac:dyDescent="0.25">
      <c r="A829" s="31"/>
      <c r="B829" s="31"/>
      <c r="C829" s="61"/>
      <c r="D829" s="61"/>
      <c r="E829" s="61"/>
      <c r="F829" s="61"/>
      <c r="G829" s="61"/>
      <c r="H829" s="6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ht="13.2" x14ac:dyDescent="0.25">
      <c r="A830" s="31"/>
      <c r="B830" s="31"/>
      <c r="C830" s="61"/>
      <c r="D830" s="61"/>
      <c r="E830" s="61"/>
      <c r="F830" s="61"/>
      <c r="G830" s="61"/>
      <c r="H830" s="6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ht="13.2" x14ac:dyDescent="0.25">
      <c r="A831" s="31"/>
      <c r="B831" s="31"/>
      <c r="C831" s="61"/>
      <c r="D831" s="61"/>
      <c r="E831" s="61"/>
      <c r="F831" s="61"/>
      <c r="G831" s="61"/>
      <c r="H831" s="6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ht="13.2" x14ac:dyDescent="0.25">
      <c r="A832" s="31"/>
      <c r="B832" s="31"/>
      <c r="C832" s="61"/>
      <c r="D832" s="61"/>
      <c r="E832" s="61"/>
      <c r="F832" s="61"/>
      <c r="G832" s="61"/>
      <c r="H832" s="6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ht="13.2" x14ac:dyDescent="0.25">
      <c r="A833" s="31"/>
      <c r="B833" s="31"/>
      <c r="C833" s="61"/>
      <c r="D833" s="61"/>
      <c r="E833" s="61"/>
      <c r="F833" s="61"/>
      <c r="G833" s="61"/>
      <c r="H833" s="6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ht="13.2" x14ac:dyDescent="0.25">
      <c r="A834" s="31"/>
      <c r="B834" s="31"/>
      <c r="C834" s="61"/>
      <c r="D834" s="61"/>
      <c r="E834" s="61"/>
      <c r="F834" s="61"/>
      <c r="G834" s="61"/>
      <c r="H834" s="6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ht="13.2" x14ac:dyDescent="0.25">
      <c r="A835" s="31"/>
      <c r="B835" s="31"/>
      <c r="C835" s="61"/>
      <c r="D835" s="61"/>
      <c r="E835" s="61"/>
      <c r="F835" s="61"/>
      <c r="G835" s="61"/>
      <c r="H835" s="6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ht="13.2" x14ac:dyDescent="0.25">
      <c r="A836" s="31"/>
      <c r="B836" s="31"/>
      <c r="C836" s="61"/>
      <c r="D836" s="61"/>
      <c r="E836" s="61"/>
      <c r="F836" s="61"/>
      <c r="G836" s="61"/>
      <c r="H836" s="6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ht="13.2" x14ac:dyDescent="0.25">
      <c r="A837" s="31"/>
      <c r="B837" s="31"/>
      <c r="C837" s="61"/>
      <c r="D837" s="61"/>
      <c r="E837" s="61"/>
      <c r="F837" s="61"/>
      <c r="G837" s="61"/>
      <c r="H837" s="6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ht="13.2" x14ac:dyDescent="0.25">
      <c r="A838" s="31"/>
      <c r="B838" s="31"/>
      <c r="C838" s="61"/>
      <c r="D838" s="61"/>
      <c r="E838" s="61"/>
      <c r="F838" s="61"/>
      <c r="G838" s="61"/>
      <c r="H838" s="6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ht="13.2" x14ac:dyDescent="0.25">
      <c r="A839" s="31"/>
      <c r="B839" s="31"/>
      <c r="C839" s="61"/>
      <c r="D839" s="61"/>
      <c r="E839" s="61"/>
      <c r="F839" s="61"/>
      <c r="G839" s="61"/>
      <c r="H839" s="6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ht="13.2" x14ac:dyDescent="0.25">
      <c r="A840" s="31"/>
      <c r="B840" s="31"/>
      <c r="C840" s="61"/>
      <c r="D840" s="61"/>
      <c r="E840" s="61"/>
      <c r="F840" s="61"/>
      <c r="G840" s="61"/>
      <c r="H840" s="6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ht="13.2" x14ac:dyDescent="0.25">
      <c r="A841" s="31"/>
      <c r="B841" s="31"/>
      <c r="C841" s="61"/>
      <c r="D841" s="61"/>
      <c r="E841" s="61"/>
      <c r="F841" s="61"/>
      <c r="G841" s="61"/>
      <c r="H841" s="6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ht="13.2" x14ac:dyDescent="0.25">
      <c r="A842" s="31"/>
      <c r="B842" s="31"/>
      <c r="C842" s="61"/>
      <c r="D842" s="61"/>
      <c r="E842" s="61"/>
      <c r="F842" s="61"/>
      <c r="G842" s="61"/>
      <c r="H842" s="6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ht="13.2" x14ac:dyDescent="0.25">
      <c r="A843" s="31"/>
      <c r="B843" s="31"/>
      <c r="C843" s="61"/>
      <c r="D843" s="61"/>
      <c r="E843" s="61"/>
      <c r="F843" s="61"/>
      <c r="G843" s="61"/>
      <c r="H843" s="6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ht="13.2" x14ac:dyDescent="0.25">
      <c r="A844" s="31"/>
      <c r="B844" s="31"/>
      <c r="C844" s="61"/>
      <c r="D844" s="61"/>
      <c r="E844" s="61"/>
      <c r="F844" s="61"/>
      <c r="G844" s="61"/>
      <c r="H844" s="6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ht="13.2" x14ac:dyDescent="0.25">
      <c r="A845" s="31"/>
      <c r="B845" s="31"/>
      <c r="C845" s="61"/>
      <c r="D845" s="61"/>
      <c r="E845" s="61"/>
      <c r="F845" s="61"/>
      <c r="G845" s="61"/>
      <c r="H845" s="6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ht="13.2" x14ac:dyDescent="0.25">
      <c r="A846" s="31"/>
      <c r="B846" s="31"/>
      <c r="C846" s="61"/>
      <c r="D846" s="61"/>
      <c r="E846" s="61"/>
      <c r="F846" s="61"/>
      <c r="G846" s="61"/>
      <c r="H846" s="6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ht="13.2" x14ac:dyDescent="0.25">
      <c r="A847" s="31"/>
      <c r="B847" s="31"/>
      <c r="C847" s="61"/>
      <c r="D847" s="61"/>
      <c r="E847" s="61"/>
      <c r="F847" s="61"/>
      <c r="G847" s="61"/>
      <c r="H847" s="6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ht="13.2" x14ac:dyDescent="0.25">
      <c r="A848" s="31"/>
      <c r="B848" s="31"/>
      <c r="C848" s="61"/>
      <c r="D848" s="61"/>
      <c r="E848" s="61"/>
      <c r="F848" s="61"/>
      <c r="G848" s="61"/>
      <c r="H848" s="6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ht="13.2" x14ac:dyDescent="0.25">
      <c r="A849" s="31"/>
      <c r="B849" s="31"/>
      <c r="C849" s="61"/>
      <c r="D849" s="61"/>
      <c r="E849" s="61"/>
      <c r="F849" s="61"/>
      <c r="G849" s="61"/>
      <c r="H849" s="6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ht="13.2" x14ac:dyDescent="0.25">
      <c r="A850" s="31"/>
      <c r="B850" s="31"/>
      <c r="C850" s="61"/>
      <c r="D850" s="61"/>
      <c r="E850" s="61"/>
      <c r="F850" s="61"/>
      <c r="G850" s="61"/>
      <c r="H850" s="6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ht="13.2" x14ac:dyDescent="0.25">
      <c r="A851" s="31"/>
      <c r="B851" s="31"/>
      <c r="C851" s="61"/>
      <c r="D851" s="61"/>
      <c r="E851" s="61"/>
      <c r="F851" s="61"/>
      <c r="G851" s="61"/>
      <c r="H851" s="6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ht="13.2" x14ac:dyDescent="0.25">
      <c r="A852" s="31"/>
      <c r="B852" s="31"/>
      <c r="C852" s="61"/>
      <c r="D852" s="61"/>
      <c r="E852" s="61"/>
      <c r="F852" s="61"/>
      <c r="G852" s="61"/>
      <c r="H852" s="6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ht="13.2" x14ac:dyDescent="0.25">
      <c r="A853" s="31"/>
      <c r="B853" s="31"/>
      <c r="C853" s="61"/>
      <c r="D853" s="61"/>
      <c r="E853" s="61"/>
      <c r="F853" s="61"/>
      <c r="G853" s="61"/>
      <c r="H853" s="6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ht="13.2" x14ac:dyDescent="0.25">
      <c r="A854" s="31"/>
      <c r="B854" s="31"/>
      <c r="C854" s="61"/>
      <c r="D854" s="61"/>
      <c r="E854" s="61"/>
      <c r="F854" s="61"/>
      <c r="G854" s="61"/>
      <c r="H854" s="6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ht="13.2" x14ac:dyDescent="0.25">
      <c r="A855" s="31"/>
      <c r="B855" s="31"/>
      <c r="C855" s="61"/>
      <c r="D855" s="61"/>
      <c r="E855" s="61"/>
      <c r="F855" s="61"/>
      <c r="G855" s="61"/>
      <c r="H855" s="6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ht="13.2" x14ac:dyDescent="0.25">
      <c r="A856" s="31"/>
      <c r="B856" s="31"/>
      <c r="C856" s="61"/>
      <c r="D856" s="61"/>
      <c r="E856" s="61"/>
      <c r="F856" s="61"/>
      <c r="G856" s="61"/>
      <c r="H856" s="6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ht="13.2" x14ac:dyDescent="0.25">
      <c r="A857" s="31"/>
      <c r="B857" s="31"/>
      <c r="C857" s="61"/>
      <c r="D857" s="61"/>
      <c r="E857" s="61"/>
      <c r="F857" s="61"/>
      <c r="G857" s="61"/>
      <c r="H857" s="6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ht="13.2" x14ac:dyDescent="0.25">
      <c r="A858" s="31"/>
      <c r="B858" s="31"/>
      <c r="C858" s="61"/>
      <c r="D858" s="61"/>
      <c r="E858" s="61"/>
      <c r="F858" s="61"/>
      <c r="G858" s="61"/>
      <c r="H858" s="6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ht="13.2" x14ac:dyDescent="0.25">
      <c r="A859" s="31"/>
      <c r="B859" s="31"/>
      <c r="C859" s="61"/>
      <c r="D859" s="61"/>
      <c r="E859" s="61"/>
      <c r="F859" s="61"/>
      <c r="G859" s="61"/>
      <c r="H859" s="6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ht="13.2" x14ac:dyDescent="0.25">
      <c r="A860" s="31"/>
      <c r="B860" s="31"/>
      <c r="C860" s="61"/>
      <c r="D860" s="61"/>
      <c r="E860" s="61"/>
      <c r="F860" s="61"/>
      <c r="G860" s="61"/>
      <c r="H860" s="6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ht="13.2" x14ac:dyDescent="0.25">
      <c r="A861" s="31"/>
      <c r="B861" s="31"/>
      <c r="C861" s="61"/>
      <c r="D861" s="61"/>
      <c r="E861" s="61"/>
      <c r="F861" s="61"/>
      <c r="G861" s="61"/>
      <c r="H861" s="6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ht="13.2" x14ac:dyDescent="0.25">
      <c r="A862" s="31"/>
      <c r="B862" s="31"/>
      <c r="C862" s="61"/>
      <c r="D862" s="61"/>
      <c r="E862" s="61"/>
      <c r="F862" s="61"/>
      <c r="G862" s="61"/>
      <c r="H862" s="6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ht="13.2" x14ac:dyDescent="0.25">
      <c r="A863" s="31"/>
      <c r="B863" s="31"/>
      <c r="C863" s="61"/>
      <c r="D863" s="61"/>
      <c r="E863" s="61"/>
      <c r="F863" s="61"/>
      <c r="G863" s="61"/>
      <c r="H863" s="6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ht="13.2" x14ac:dyDescent="0.25">
      <c r="A864" s="31"/>
      <c r="B864" s="31"/>
      <c r="C864" s="61"/>
      <c r="D864" s="61"/>
      <c r="E864" s="61"/>
      <c r="F864" s="61"/>
      <c r="G864" s="61"/>
      <c r="H864" s="6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ht="13.2" x14ac:dyDescent="0.25">
      <c r="A865" s="31"/>
      <c r="B865" s="31"/>
      <c r="C865" s="61"/>
      <c r="D865" s="61"/>
      <c r="E865" s="61"/>
      <c r="F865" s="61"/>
      <c r="G865" s="61"/>
      <c r="H865" s="6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ht="13.2" x14ac:dyDescent="0.25">
      <c r="A866" s="31"/>
      <c r="B866" s="31"/>
      <c r="C866" s="61"/>
      <c r="D866" s="61"/>
      <c r="E866" s="61"/>
      <c r="F866" s="61"/>
      <c r="G866" s="61"/>
      <c r="H866" s="6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ht="13.2" x14ac:dyDescent="0.25">
      <c r="A867" s="31"/>
      <c r="B867" s="31"/>
      <c r="C867" s="61"/>
      <c r="D867" s="61"/>
      <c r="E867" s="61"/>
      <c r="F867" s="61"/>
      <c r="G867" s="61"/>
      <c r="H867" s="6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ht="13.2" x14ac:dyDescent="0.25">
      <c r="A868" s="31"/>
      <c r="B868" s="31"/>
      <c r="C868" s="61"/>
      <c r="D868" s="61"/>
      <c r="E868" s="61"/>
      <c r="F868" s="61"/>
      <c r="G868" s="61"/>
      <c r="H868" s="6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ht="13.2" x14ac:dyDescent="0.25">
      <c r="A869" s="31"/>
      <c r="B869" s="31"/>
      <c r="C869" s="61"/>
      <c r="D869" s="61"/>
      <c r="E869" s="61"/>
      <c r="F869" s="61"/>
      <c r="G869" s="61"/>
      <c r="H869" s="6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ht="13.2" x14ac:dyDescent="0.25">
      <c r="A870" s="31"/>
      <c r="B870" s="31"/>
      <c r="C870" s="61"/>
      <c r="D870" s="61"/>
      <c r="E870" s="61"/>
      <c r="F870" s="61"/>
      <c r="G870" s="61"/>
      <c r="H870" s="6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ht="13.2" x14ac:dyDescent="0.25">
      <c r="A871" s="31"/>
      <c r="B871" s="31"/>
      <c r="C871" s="61"/>
      <c r="D871" s="61"/>
      <c r="E871" s="61"/>
      <c r="F871" s="61"/>
      <c r="G871" s="61"/>
      <c r="H871" s="6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ht="13.2" x14ac:dyDescent="0.25">
      <c r="A872" s="31"/>
      <c r="B872" s="31"/>
      <c r="C872" s="61"/>
      <c r="D872" s="61"/>
      <c r="E872" s="61"/>
      <c r="F872" s="61"/>
      <c r="G872" s="61"/>
      <c r="H872" s="6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ht="13.2" x14ac:dyDescent="0.25">
      <c r="A873" s="31"/>
      <c r="B873" s="31"/>
      <c r="C873" s="61"/>
      <c r="D873" s="61"/>
      <c r="E873" s="61"/>
      <c r="F873" s="61"/>
      <c r="G873" s="61"/>
      <c r="H873" s="6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ht="13.2" x14ac:dyDescent="0.25">
      <c r="A874" s="31"/>
      <c r="B874" s="31"/>
      <c r="C874" s="61"/>
      <c r="D874" s="61"/>
      <c r="E874" s="61"/>
      <c r="F874" s="61"/>
      <c r="G874" s="61"/>
      <c r="H874" s="6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ht="13.2" x14ac:dyDescent="0.25">
      <c r="A875" s="31"/>
      <c r="B875" s="31"/>
      <c r="C875" s="61"/>
      <c r="D875" s="61"/>
      <c r="E875" s="61"/>
      <c r="F875" s="61"/>
      <c r="G875" s="61"/>
      <c r="H875" s="6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ht="13.2" x14ac:dyDescent="0.25">
      <c r="A876" s="31"/>
      <c r="B876" s="31"/>
      <c r="C876" s="61"/>
      <c r="D876" s="61"/>
      <c r="E876" s="61"/>
      <c r="F876" s="61"/>
      <c r="G876" s="61"/>
      <c r="H876" s="6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ht="13.2" x14ac:dyDescent="0.25">
      <c r="A877" s="31"/>
      <c r="B877" s="31"/>
      <c r="C877" s="61"/>
      <c r="D877" s="61"/>
      <c r="E877" s="61"/>
      <c r="F877" s="61"/>
      <c r="G877" s="61"/>
      <c r="H877" s="6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ht="13.2" x14ac:dyDescent="0.25">
      <c r="A878" s="31"/>
      <c r="B878" s="31"/>
      <c r="C878" s="61"/>
      <c r="D878" s="61"/>
      <c r="E878" s="61"/>
      <c r="F878" s="61"/>
      <c r="G878" s="61"/>
      <c r="H878" s="6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ht="13.2" x14ac:dyDescent="0.25">
      <c r="A879" s="31"/>
      <c r="B879" s="31"/>
      <c r="C879" s="61"/>
      <c r="D879" s="61"/>
      <c r="E879" s="61"/>
      <c r="F879" s="61"/>
      <c r="G879" s="61"/>
      <c r="H879" s="6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ht="13.2" x14ac:dyDescent="0.25">
      <c r="A880" s="31"/>
      <c r="B880" s="31"/>
      <c r="C880" s="61"/>
      <c r="D880" s="61"/>
      <c r="E880" s="61"/>
      <c r="F880" s="61"/>
      <c r="G880" s="61"/>
      <c r="H880" s="6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ht="13.2" x14ac:dyDescent="0.25">
      <c r="A881" s="31"/>
      <c r="B881" s="31"/>
      <c r="C881" s="61"/>
      <c r="D881" s="61"/>
      <c r="E881" s="61"/>
      <c r="F881" s="61"/>
      <c r="G881" s="61"/>
      <c r="H881" s="6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ht="13.2" x14ac:dyDescent="0.25">
      <c r="A882" s="31"/>
      <c r="B882" s="31"/>
      <c r="C882" s="61"/>
      <c r="D882" s="61"/>
      <c r="E882" s="61"/>
      <c r="F882" s="61"/>
      <c r="G882" s="61"/>
      <c r="H882" s="6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ht="13.2" x14ac:dyDescent="0.25">
      <c r="A883" s="31"/>
      <c r="B883" s="31"/>
      <c r="C883" s="61"/>
      <c r="D883" s="61"/>
      <c r="E883" s="61"/>
      <c r="F883" s="61"/>
      <c r="G883" s="61"/>
      <c r="H883" s="6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ht="13.2" x14ac:dyDescent="0.25">
      <c r="A884" s="31"/>
      <c r="B884" s="31"/>
      <c r="C884" s="61"/>
      <c r="D884" s="61"/>
      <c r="E884" s="61"/>
      <c r="F884" s="61"/>
      <c r="G884" s="61"/>
      <c r="H884" s="6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ht="13.2" x14ac:dyDescent="0.25">
      <c r="A885" s="31"/>
      <c r="B885" s="31"/>
      <c r="C885" s="61"/>
      <c r="D885" s="61"/>
      <c r="E885" s="61"/>
      <c r="F885" s="61"/>
      <c r="G885" s="61"/>
      <c r="H885" s="6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ht="13.2" x14ac:dyDescent="0.25">
      <c r="A886" s="31"/>
      <c r="B886" s="31"/>
      <c r="C886" s="61"/>
      <c r="D886" s="61"/>
      <c r="E886" s="61"/>
      <c r="F886" s="61"/>
      <c r="G886" s="61"/>
      <c r="H886" s="6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ht="13.2" x14ac:dyDescent="0.25">
      <c r="A887" s="31"/>
      <c r="B887" s="31"/>
      <c r="C887" s="61"/>
      <c r="D887" s="61"/>
      <c r="E887" s="61"/>
      <c r="F887" s="61"/>
      <c r="G887" s="61"/>
      <c r="H887" s="6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ht="13.2" x14ac:dyDescent="0.25">
      <c r="A888" s="31"/>
      <c r="B888" s="31"/>
      <c r="C888" s="61"/>
      <c r="D888" s="61"/>
      <c r="E888" s="61"/>
      <c r="F888" s="61"/>
      <c r="G888" s="61"/>
      <c r="H888" s="6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ht="13.2" x14ac:dyDescent="0.25">
      <c r="A889" s="31"/>
      <c r="B889" s="31"/>
      <c r="C889" s="61"/>
      <c r="D889" s="61"/>
      <c r="E889" s="61"/>
      <c r="F889" s="61"/>
      <c r="G889" s="61"/>
      <c r="H889" s="6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ht="13.2" x14ac:dyDescent="0.25">
      <c r="A890" s="31"/>
      <c r="B890" s="31"/>
      <c r="C890" s="61"/>
      <c r="D890" s="61"/>
      <c r="E890" s="61"/>
      <c r="F890" s="61"/>
      <c r="G890" s="61"/>
      <c r="H890" s="6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ht="13.2" x14ac:dyDescent="0.25">
      <c r="A891" s="31"/>
      <c r="B891" s="31"/>
      <c r="C891" s="61"/>
      <c r="D891" s="61"/>
      <c r="E891" s="61"/>
      <c r="F891" s="61"/>
      <c r="G891" s="61"/>
      <c r="H891" s="6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ht="13.2" x14ac:dyDescent="0.25">
      <c r="A892" s="31"/>
      <c r="B892" s="31"/>
      <c r="C892" s="61"/>
      <c r="D892" s="61"/>
      <c r="E892" s="61"/>
      <c r="F892" s="61"/>
      <c r="G892" s="61"/>
      <c r="H892" s="6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ht="13.2" x14ac:dyDescent="0.25">
      <c r="A893" s="31"/>
      <c r="B893" s="31"/>
      <c r="C893" s="61"/>
      <c r="D893" s="61"/>
      <c r="E893" s="61"/>
      <c r="F893" s="61"/>
      <c r="G893" s="61"/>
      <c r="H893" s="6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ht="13.2" x14ac:dyDescent="0.25">
      <c r="A894" s="31"/>
      <c r="B894" s="31"/>
      <c r="C894" s="61"/>
      <c r="D894" s="61"/>
      <c r="E894" s="61"/>
      <c r="F894" s="61"/>
      <c r="G894" s="61"/>
      <c r="H894" s="6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ht="13.2" x14ac:dyDescent="0.25">
      <c r="A895" s="31"/>
      <c r="B895" s="31"/>
      <c r="C895" s="61"/>
      <c r="D895" s="61"/>
      <c r="E895" s="61"/>
      <c r="F895" s="61"/>
      <c r="G895" s="61"/>
      <c r="H895" s="6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ht="13.2" x14ac:dyDescent="0.25">
      <c r="A896" s="31"/>
      <c r="B896" s="31"/>
      <c r="C896" s="61"/>
      <c r="D896" s="61"/>
      <c r="E896" s="61"/>
      <c r="F896" s="61"/>
      <c r="G896" s="61"/>
      <c r="H896" s="6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ht="13.2" x14ac:dyDescent="0.25">
      <c r="A897" s="31"/>
      <c r="B897" s="31"/>
      <c r="C897" s="61"/>
      <c r="D897" s="61"/>
      <c r="E897" s="61"/>
      <c r="F897" s="61"/>
      <c r="G897" s="61"/>
      <c r="H897" s="6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ht="13.2" x14ac:dyDescent="0.25">
      <c r="A898" s="31"/>
      <c r="B898" s="31"/>
      <c r="C898" s="61"/>
      <c r="D898" s="61"/>
      <c r="E898" s="61"/>
      <c r="F898" s="61"/>
      <c r="G898" s="61"/>
      <c r="H898" s="6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ht="13.2" x14ac:dyDescent="0.25">
      <c r="A899" s="31"/>
      <c r="B899" s="31"/>
      <c r="C899" s="61"/>
      <c r="D899" s="61"/>
      <c r="E899" s="61"/>
      <c r="F899" s="61"/>
      <c r="G899" s="61"/>
      <c r="H899" s="6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ht="13.2" x14ac:dyDescent="0.25">
      <c r="A900" s="31"/>
      <c r="B900" s="31"/>
      <c r="C900" s="61"/>
      <c r="D900" s="61"/>
      <c r="E900" s="61"/>
      <c r="F900" s="61"/>
      <c r="G900" s="61"/>
      <c r="H900" s="6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ht="13.2" x14ac:dyDescent="0.25">
      <c r="A901" s="31"/>
      <c r="B901" s="31"/>
      <c r="C901" s="61"/>
      <c r="D901" s="61"/>
      <c r="E901" s="61"/>
      <c r="F901" s="61"/>
      <c r="G901" s="61"/>
      <c r="H901" s="6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ht="13.2" x14ac:dyDescent="0.25">
      <c r="A902" s="31"/>
      <c r="B902" s="31"/>
      <c r="C902" s="61"/>
      <c r="D902" s="61"/>
      <c r="E902" s="61"/>
      <c r="F902" s="61"/>
      <c r="G902" s="61"/>
      <c r="H902" s="6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ht="13.2" x14ac:dyDescent="0.25">
      <c r="A903" s="31"/>
      <c r="B903" s="31"/>
      <c r="C903" s="61"/>
      <c r="D903" s="61"/>
      <c r="E903" s="61"/>
      <c r="F903" s="61"/>
      <c r="G903" s="61"/>
      <c r="H903" s="6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ht="13.2" x14ac:dyDescent="0.25">
      <c r="A904" s="31"/>
      <c r="B904" s="31"/>
      <c r="C904" s="61"/>
      <c r="D904" s="61"/>
      <c r="E904" s="61"/>
      <c r="F904" s="61"/>
      <c r="G904" s="61"/>
      <c r="H904" s="6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ht="13.2" x14ac:dyDescent="0.25">
      <c r="A905" s="31"/>
      <c r="B905" s="31"/>
      <c r="C905" s="61"/>
      <c r="D905" s="61"/>
      <c r="E905" s="61"/>
      <c r="F905" s="61"/>
      <c r="G905" s="61"/>
      <c r="H905" s="6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ht="13.2" x14ac:dyDescent="0.25">
      <c r="A906" s="31"/>
      <c r="B906" s="31"/>
      <c r="C906" s="61"/>
      <c r="D906" s="61"/>
      <c r="E906" s="61"/>
      <c r="F906" s="61"/>
      <c r="G906" s="61"/>
      <c r="H906" s="6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ht="13.2" x14ac:dyDescent="0.25">
      <c r="A907" s="31"/>
      <c r="B907" s="31"/>
      <c r="C907" s="61"/>
      <c r="D907" s="61"/>
      <c r="E907" s="61"/>
      <c r="F907" s="61"/>
      <c r="G907" s="61"/>
      <c r="H907" s="6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ht="13.2" x14ac:dyDescent="0.25">
      <c r="A908" s="31"/>
      <c r="B908" s="31"/>
      <c r="C908" s="61"/>
      <c r="D908" s="61"/>
      <c r="E908" s="61"/>
      <c r="F908" s="61"/>
      <c r="G908" s="61"/>
      <c r="H908" s="6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ht="13.2" x14ac:dyDescent="0.25">
      <c r="A909" s="31"/>
      <c r="B909" s="31"/>
      <c r="C909" s="61"/>
      <c r="D909" s="61"/>
      <c r="E909" s="61"/>
      <c r="F909" s="61"/>
      <c r="G909" s="61"/>
      <c r="H909" s="6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ht="13.2" x14ac:dyDescent="0.25">
      <c r="A910" s="31"/>
      <c r="B910" s="31"/>
      <c r="C910" s="61"/>
      <c r="D910" s="61"/>
      <c r="E910" s="61"/>
      <c r="F910" s="61"/>
      <c r="G910" s="61"/>
      <c r="H910" s="6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ht="13.2" x14ac:dyDescent="0.25">
      <c r="A911" s="31"/>
      <c r="B911" s="31"/>
      <c r="C911" s="61"/>
      <c r="D911" s="61"/>
      <c r="E911" s="61"/>
      <c r="F911" s="61"/>
      <c r="G911" s="61"/>
      <c r="H911" s="6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ht="13.2" x14ac:dyDescent="0.25">
      <c r="A912" s="31"/>
      <c r="B912" s="31"/>
      <c r="C912" s="61"/>
      <c r="D912" s="61"/>
      <c r="E912" s="61"/>
      <c r="F912" s="61"/>
      <c r="G912" s="61"/>
      <c r="H912" s="6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ht="13.2" x14ac:dyDescent="0.25">
      <c r="A913" s="31"/>
      <c r="B913" s="31"/>
      <c r="C913" s="61"/>
      <c r="D913" s="61"/>
      <c r="E913" s="61"/>
      <c r="F913" s="61"/>
      <c r="G913" s="61"/>
      <c r="H913" s="6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ht="13.2" x14ac:dyDescent="0.25">
      <c r="A914" s="31"/>
      <c r="B914" s="31"/>
      <c r="C914" s="61"/>
      <c r="D914" s="61"/>
      <c r="E914" s="61"/>
      <c r="F914" s="61"/>
      <c r="G914" s="61"/>
      <c r="H914" s="6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ht="13.2" x14ac:dyDescent="0.25">
      <c r="A915" s="31"/>
      <c r="B915" s="31"/>
      <c r="C915" s="61"/>
      <c r="D915" s="61"/>
      <c r="E915" s="61"/>
      <c r="F915" s="61"/>
      <c r="G915" s="61"/>
      <c r="H915" s="6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ht="13.2" x14ac:dyDescent="0.25">
      <c r="A916" s="31"/>
      <c r="B916" s="31"/>
      <c r="C916" s="61"/>
      <c r="D916" s="61"/>
      <c r="E916" s="61"/>
      <c r="F916" s="61"/>
      <c r="G916" s="61"/>
      <c r="H916" s="6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ht="13.2" x14ac:dyDescent="0.25">
      <c r="A917" s="31"/>
      <c r="B917" s="31"/>
      <c r="C917" s="61"/>
      <c r="D917" s="61"/>
      <c r="E917" s="61"/>
      <c r="F917" s="61"/>
      <c r="G917" s="61"/>
      <c r="H917" s="6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ht="13.2" x14ac:dyDescent="0.25">
      <c r="A918" s="31"/>
      <c r="B918" s="31"/>
      <c r="C918" s="61"/>
      <c r="D918" s="61"/>
      <c r="E918" s="61"/>
      <c r="F918" s="61"/>
      <c r="G918" s="61"/>
      <c r="H918" s="6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ht="13.2" x14ac:dyDescent="0.25">
      <c r="A919" s="31"/>
      <c r="B919" s="31"/>
      <c r="C919" s="61"/>
      <c r="D919" s="61"/>
      <c r="E919" s="61"/>
      <c r="F919" s="61"/>
      <c r="G919" s="61"/>
      <c r="H919" s="6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ht="13.2" x14ac:dyDescent="0.25">
      <c r="A920" s="31"/>
      <c r="B920" s="31"/>
      <c r="C920" s="61"/>
      <c r="D920" s="61"/>
      <c r="E920" s="61"/>
      <c r="F920" s="61"/>
      <c r="G920" s="61"/>
      <c r="H920" s="6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ht="13.2" x14ac:dyDescent="0.25">
      <c r="A921" s="31"/>
      <c r="B921" s="31"/>
      <c r="C921" s="61"/>
      <c r="D921" s="61"/>
      <c r="E921" s="61"/>
      <c r="F921" s="61"/>
      <c r="G921" s="61"/>
      <c r="H921" s="6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ht="13.2" x14ac:dyDescent="0.25">
      <c r="A922" s="31"/>
      <c r="B922" s="31"/>
      <c r="C922" s="61"/>
      <c r="D922" s="61"/>
      <c r="E922" s="61"/>
      <c r="F922" s="61"/>
      <c r="G922" s="61"/>
      <c r="H922" s="6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ht="13.2" x14ac:dyDescent="0.25">
      <c r="A923" s="31"/>
      <c r="B923" s="31"/>
      <c r="C923" s="61"/>
      <c r="D923" s="61"/>
      <c r="E923" s="61"/>
      <c r="F923" s="61"/>
      <c r="G923" s="61"/>
      <c r="H923" s="6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ht="13.2" x14ac:dyDescent="0.25">
      <c r="A924" s="31"/>
      <c r="B924" s="31"/>
      <c r="C924" s="61"/>
      <c r="D924" s="61"/>
      <c r="E924" s="61"/>
      <c r="F924" s="61"/>
      <c r="G924" s="61"/>
      <c r="H924" s="6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ht="13.2" x14ac:dyDescent="0.25">
      <c r="A925" s="31"/>
      <c r="B925" s="31"/>
      <c r="C925" s="61"/>
      <c r="D925" s="61"/>
      <c r="E925" s="61"/>
      <c r="F925" s="61"/>
      <c r="G925" s="61"/>
      <c r="H925" s="6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ht="13.2" x14ac:dyDescent="0.25">
      <c r="A926" s="31"/>
      <c r="B926" s="31"/>
      <c r="C926" s="61"/>
      <c r="D926" s="61"/>
      <c r="E926" s="61"/>
      <c r="F926" s="61"/>
      <c r="G926" s="61"/>
      <c r="H926" s="6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ht="13.2" x14ac:dyDescent="0.25">
      <c r="A927" s="31"/>
      <c r="B927" s="31"/>
      <c r="C927" s="61"/>
      <c r="D927" s="61"/>
      <c r="E927" s="61"/>
      <c r="F927" s="61"/>
      <c r="G927" s="61"/>
      <c r="H927" s="6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ht="13.2" x14ac:dyDescent="0.25">
      <c r="A928" s="31"/>
      <c r="B928" s="31"/>
      <c r="C928" s="61"/>
      <c r="D928" s="61"/>
      <c r="E928" s="61"/>
      <c r="F928" s="61"/>
      <c r="G928" s="61"/>
      <c r="H928" s="6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ht="13.2" x14ac:dyDescent="0.25">
      <c r="A929" s="31"/>
      <c r="B929" s="31"/>
      <c r="C929" s="61"/>
      <c r="D929" s="61"/>
      <c r="E929" s="61"/>
      <c r="F929" s="61"/>
      <c r="G929" s="61"/>
      <c r="H929" s="6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ht="13.2" x14ac:dyDescent="0.25">
      <c r="A930" s="31"/>
      <c r="B930" s="31"/>
      <c r="C930" s="61"/>
      <c r="D930" s="61"/>
      <c r="E930" s="61"/>
      <c r="F930" s="61"/>
      <c r="G930" s="61"/>
      <c r="H930" s="6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ht="13.2" x14ac:dyDescent="0.25">
      <c r="A931" s="31"/>
      <c r="B931" s="31"/>
      <c r="C931" s="61"/>
      <c r="D931" s="61"/>
      <c r="E931" s="61"/>
      <c r="F931" s="61"/>
      <c r="G931" s="61"/>
      <c r="H931" s="6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ht="13.2" x14ac:dyDescent="0.25">
      <c r="A932" s="31"/>
      <c r="B932" s="31"/>
      <c r="C932" s="61"/>
      <c r="D932" s="61"/>
      <c r="E932" s="61"/>
      <c r="F932" s="61"/>
      <c r="G932" s="61"/>
      <c r="H932" s="6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ht="13.2" x14ac:dyDescent="0.25">
      <c r="A933" s="31"/>
      <c r="B933" s="31"/>
      <c r="C933" s="61"/>
      <c r="D933" s="61"/>
      <c r="E933" s="61"/>
      <c r="F933" s="61"/>
      <c r="G933" s="61"/>
      <c r="H933" s="6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ht="13.2" x14ac:dyDescent="0.25">
      <c r="A934" s="31"/>
      <c r="B934" s="31"/>
      <c r="C934" s="61"/>
      <c r="D934" s="61"/>
      <c r="E934" s="61"/>
      <c r="F934" s="61"/>
      <c r="G934" s="61"/>
      <c r="H934" s="6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ht="13.2" x14ac:dyDescent="0.25">
      <c r="A935" s="31"/>
      <c r="B935" s="31"/>
      <c r="C935" s="61"/>
      <c r="D935" s="61"/>
      <c r="E935" s="61"/>
      <c r="F935" s="61"/>
      <c r="G935" s="61"/>
      <c r="H935" s="6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ht="13.2" x14ac:dyDescent="0.25">
      <c r="A936" s="31"/>
      <c r="B936" s="31"/>
      <c r="C936" s="61"/>
      <c r="D936" s="61"/>
      <c r="E936" s="61"/>
      <c r="F936" s="61"/>
      <c r="G936" s="61"/>
      <c r="H936" s="6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ht="13.2" x14ac:dyDescent="0.25">
      <c r="A937" s="31"/>
      <c r="B937" s="31"/>
      <c r="C937" s="61"/>
      <c r="D937" s="61"/>
      <c r="E937" s="61"/>
      <c r="F937" s="61"/>
      <c r="G937" s="61"/>
      <c r="H937" s="6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ht="13.2" x14ac:dyDescent="0.25">
      <c r="A938" s="31"/>
      <c r="B938" s="31"/>
      <c r="C938" s="61"/>
      <c r="D938" s="61"/>
      <c r="E938" s="61"/>
      <c r="F938" s="61"/>
      <c r="G938" s="61"/>
      <c r="H938" s="6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ht="13.2" x14ac:dyDescent="0.25">
      <c r="A939" s="31"/>
      <c r="B939" s="31"/>
      <c r="C939" s="61"/>
      <c r="D939" s="61"/>
      <c r="E939" s="61"/>
      <c r="F939" s="61"/>
      <c r="G939" s="61"/>
      <c r="H939" s="6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ht="13.2" x14ac:dyDescent="0.25">
      <c r="A940" s="31"/>
      <c r="B940" s="31"/>
      <c r="C940" s="61"/>
      <c r="D940" s="61"/>
      <c r="E940" s="61"/>
      <c r="F940" s="61"/>
      <c r="G940" s="61"/>
      <c r="H940" s="6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ht="13.2" x14ac:dyDescent="0.25">
      <c r="A941" s="31"/>
      <c r="B941" s="31"/>
      <c r="C941" s="61"/>
      <c r="D941" s="61"/>
      <c r="E941" s="61"/>
      <c r="F941" s="61"/>
      <c r="G941" s="61"/>
      <c r="H941" s="6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ht="13.2" x14ac:dyDescent="0.25">
      <c r="A942" s="31"/>
      <c r="B942" s="31"/>
      <c r="C942" s="61"/>
      <c r="D942" s="61"/>
      <c r="E942" s="61"/>
      <c r="F942" s="61"/>
      <c r="G942" s="61"/>
      <c r="H942" s="6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ht="13.2" x14ac:dyDescent="0.25">
      <c r="A943" s="31"/>
      <c r="B943" s="31"/>
      <c r="C943" s="61"/>
      <c r="D943" s="61"/>
      <c r="E943" s="61"/>
      <c r="F943" s="61"/>
      <c r="G943" s="61"/>
      <c r="H943" s="6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ht="13.2" x14ac:dyDescent="0.25">
      <c r="A944" s="31"/>
      <c r="B944" s="31"/>
      <c r="C944" s="61"/>
      <c r="D944" s="61"/>
      <c r="E944" s="61"/>
      <c r="F944" s="61"/>
      <c r="G944" s="61"/>
      <c r="H944" s="6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ht="13.2" x14ac:dyDescent="0.25">
      <c r="A945" s="31"/>
      <c r="B945" s="31"/>
      <c r="C945" s="61"/>
      <c r="D945" s="61"/>
      <c r="E945" s="61"/>
      <c r="F945" s="61"/>
      <c r="G945" s="61"/>
      <c r="H945" s="6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ht="13.2" x14ac:dyDescent="0.25">
      <c r="A946" s="31"/>
      <c r="B946" s="31"/>
      <c r="C946" s="61"/>
      <c r="D946" s="61"/>
      <c r="E946" s="61"/>
      <c r="F946" s="61"/>
      <c r="G946" s="61"/>
      <c r="H946" s="6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ht="13.2" x14ac:dyDescent="0.25">
      <c r="A947" s="31"/>
      <c r="B947" s="31"/>
      <c r="C947" s="61"/>
      <c r="D947" s="61"/>
      <c r="E947" s="61"/>
      <c r="F947" s="61"/>
      <c r="G947" s="61"/>
      <c r="H947" s="6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ht="13.2" x14ac:dyDescent="0.25">
      <c r="A948" s="31"/>
      <c r="B948" s="31"/>
      <c r="C948" s="61"/>
      <c r="D948" s="61"/>
      <c r="E948" s="61"/>
      <c r="F948" s="61"/>
      <c r="G948" s="61"/>
      <c r="H948" s="6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ht="13.2" x14ac:dyDescent="0.25">
      <c r="A949" s="31"/>
      <c r="B949" s="31"/>
      <c r="C949" s="61"/>
      <c r="D949" s="61"/>
      <c r="E949" s="61"/>
      <c r="F949" s="61"/>
      <c r="G949" s="61"/>
      <c r="H949" s="6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ht="13.2" x14ac:dyDescent="0.25">
      <c r="A950" s="31"/>
      <c r="B950" s="31"/>
      <c r="C950" s="61"/>
      <c r="D950" s="61"/>
      <c r="E950" s="61"/>
      <c r="F950" s="61"/>
      <c r="G950" s="61"/>
      <c r="H950" s="6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ht="13.2" x14ac:dyDescent="0.25">
      <c r="A951" s="31"/>
      <c r="B951" s="31"/>
      <c r="C951" s="61"/>
      <c r="D951" s="61"/>
      <c r="E951" s="61"/>
      <c r="F951" s="61"/>
      <c r="G951" s="61"/>
      <c r="H951" s="6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ht="13.2" x14ac:dyDescent="0.25">
      <c r="A952" s="31"/>
      <c r="B952" s="31"/>
      <c r="C952" s="61"/>
      <c r="D952" s="61"/>
      <c r="E952" s="61"/>
      <c r="F952" s="61"/>
      <c r="G952" s="61"/>
      <c r="H952" s="6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ht="13.2" x14ac:dyDescent="0.25">
      <c r="A953" s="31"/>
      <c r="B953" s="31"/>
      <c r="C953" s="61"/>
      <c r="D953" s="61"/>
      <c r="E953" s="61"/>
      <c r="F953" s="61"/>
      <c r="G953" s="61"/>
      <c r="H953" s="6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ht="13.2" x14ac:dyDescent="0.25">
      <c r="A954" s="31"/>
      <c r="B954" s="31"/>
      <c r="C954" s="61"/>
      <c r="D954" s="61"/>
      <c r="E954" s="61"/>
      <c r="F954" s="61"/>
      <c r="G954" s="61"/>
      <c r="H954" s="6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ht="13.2" x14ac:dyDescent="0.25">
      <c r="A955" s="31"/>
      <c r="B955" s="31"/>
      <c r="C955" s="61"/>
      <c r="D955" s="61"/>
      <c r="E955" s="61"/>
      <c r="F955" s="61"/>
      <c r="G955" s="61"/>
      <c r="H955" s="6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ht="13.2" x14ac:dyDescent="0.25">
      <c r="A956" s="31"/>
      <c r="B956" s="31"/>
      <c r="C956" s="61"/>
      <c r="D956" s="61"/>
      <c r="E956" s="61"/>
      <c r="F956" s="61"/>
      <c r="G956" s="61"/>
      <c r="H956" s="6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ht="13.2" x14ac:dyDescent="0.25">
      <c r="A957" s="31"/>
      <c r="B957" s="31"/>
      <c r="C957" s="61"/>
      <c r="D957" s="61"/>
      <c r="E957" s="61"/>
      <c r="F957" s="61"/>
      <c r="G957" s="61"/>
      <c r="H957" s="6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ht="13.2" x14ac:dyDescent="0.25">
      <c r="A958" s="31"/>
      <c r="B958" s="31"/>
      <c r="C958" s="61"/>
      <c r="D958" s="61"/>
      <c r="E958" s="61"/>
      <c r="F958" s="61"/>
      <c r="G958" s="61"/>
      <c r="H958" s="6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ht="13.2" x14ac:dyDescent="0.25">
      <c r="A959" s="31"/>
      <c r="B959" s="31"/>
      <c r="C959" s="61"/>
      <c r="D959" s="61"/>
      <c r="E959" s="61"/>
      <c r="F959" s="61"/>
      <c r="G959" s="61"/>
      <c r="H959" s="6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ht="13.2" x14ac:dyDescent="0.25">
      <c r="A960" s="31"/>
      <c r="B960" s="31"/>
      <c r="C960" s="61"/>
      <c r="D960" s="61"/>
      <c r="E960" s="61"/>
      <c r="F960" s="61"/>
      <c r="G960" s="61"/>
      <c r="H960" s="6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ht="13.2" x14ac:dyDescent="0.25">
      <c r="A961" s="31"/>
      <c r="B961" s="31"/>
      <c r="C961" s="61"/>
      <c r="D961" s="61"/>
      <c r="E961" s="61"/>
      <c r="F961" s="61"/>
      <c r="G961" s="61"/>
      <c r="H961" s="6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ht="13.2" x14ac:dyDescent="0.25">
      <c r="A962" s="31"/>
      <c r="B962" s="31"/>
      <c r="C962" s="61"/>
      <c r="D962" s="61"/>
      <c r="E962" s="61"/>
      <c r="F962" s="61"/>
      <c r="G962" s="61"/>
      <c r="H962" s="6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ht="13.2" x14ac:dyDescent="0.25">
      <c r="A963" s="31"/>
      <c r="B963" s="31"/>
      <c r="C963" s="61"/>
      <c r="D963" s="61"/>
      <c r="E963" s="61"/>
      <c r="F963" s="61"/>
      <c r="G963" s="61"/>
      <c r="H963" s="6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ht="13.2" x14ac:dyDescent="0.25">
      <c r="A964" s="31"/>
      <c r="B964" s="31"/>
      <c r="C964" s="61"/>
      <c r="D964" s="61"/>
      <c r="E964" s="61"/>
      <c r="F964" s="61"/>
      <c r="G964" s="61"/>
      <c r="H964" s="6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ht="13.2" x14ac:dyDescent="0.25">
      <c r="A965" s="31"/>
      <c r="B965" s="31"/>
      <c r="C965" s="61"/>
      <c r="D965" s="61"/>
      <c r="E965" s="61"/>
      <c r="F965" s="61"/>
      <c r="G965" s="61"/>
      <c r="H965" s="6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ht="13.2" x14ac:dyDescent="0.25">
      <c r="A966" s="31"/>
      <c r="B966" s="31"/>
      <c r="C966" s="61"/>
      <c r="D966" s="61"/>
      <c r="E966" s="61"/>
      <c r="F966" s="61"/>
      <c r="G966" s="61"/>
      <c r="H966" s="6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ht="13.2" x14ac:dyDescent="0.25">
      <c r="A967" s="31"/>
      <c r="B967" s="31"/>
      <c r="C967" s="61"/>
      <c r="D967" s="61"/>
      <c r="E967" s="61"/>
      <c r="F967" s="61"/>
      <c r="G967" s="61"/>
      <c r="H967" s="6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ht="13.2" x14ac:dyDescent="0.25">
      <c r="A968" s="31"/>
      <c r="B968" s="31"/>
      <c r="C968" s="61"/>
      <c r="D968" s="61"/>
      <c r="E968" s="61"/>
      <c r="F968" s="61"/>
      <c r="G968" s="61"/>
      <c r="H968" s="6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ht="13.2" x14ac:dyDescent="0.25">
      <c r="A969" s="31"/>
      <c r="B969" s="31"/>
      <c r="C969" s="61"/>
      <c r="D969" s="61"/>
      <c r="E969" s="61"/>
      <c r="F969" s="61"/>
      <c r="G969" s="61"/>
      <c r="H969" s="6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ht="13.2" x14ac:dyDescent="0.25">
      <c r="A970" s="31"/>
      <c r="B970" s="31"/>
      <c r="C970" s="61"/>
      <c r="D970" s="61"/>
      <c r="E970" s="61"/>
      <c r="F970" s="61"/>
      <c r="G970" s="61"/>
      <c r="H970" s="6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ht="13.2" x14ac:dyDescent="0.25">
      <c r="A971" s="31"/>
      <c r="B971" s="31"/>
      <c r="C971" s="61"/>
      <c r="D971" s="61"/>
      <c r="E971" s="61"/>
      <c r="F971" s="61"/>
      <c r="G971" s="61"/>
      <c r="H971" s="6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ht="13.2" x14ac:dyDescent="0.25">
      <c r="A972" s="31"/>
      <c r="B972" s="31"/>
      <c r="C972" s="61"/>
      <c r="D972" s="61"/>
      <c r="E972" s="61"/>
      <c r="F972" s="61"/>
      <c r="G972" s="61"/>
      <c r="H972" s="6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ht="13.2" x14ac:dyDescent="0.25">
      <c r="A973" s="31"/>
      <c r="B973" s="31"/>
      <c r="C973" s="61"/>
      <c r="D973" s="61"/>
      <c r="E973" s="61"/>
      <c r="F973" s="61"/>
      <c r="G973" s="61"/>
      <c r="H973" s="6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ht="13.2" x14ac:dyDescent="0.25">
      <c r="A974" s="31"/>
      <c r="B974" s="31"/>
      <c r="C974" s="61"/>
      <c r="D974" s="61"/>
      <c r="E974" s="61"/>
      <c r="F974" s="61"/>
      <c r="G974" s="61"/>
      <c r="H974" s="6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ht="13.2" x14ac:dyDescent="0.25">
      <c r="A975" s="31"/>
      <c r="B975" s="31"/>
      <c r="C975" s="61"/>
      <c r="D975" s="61"/>
      <c r="E975" s="61"/>
      <c r="F975" s="61"/>
      <c r="G975" s="61"/>
      <c r="H975" s="6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ht="13.2" x14ac:dyDescent="0.25">
      <c r="A976" s="31"/>
      <c r="B976" s="31"/>
      <c r="C976" s="61"/>
      <c r="D976" s="61"/>
      <c r="E976" s="61"/>
      <c r="F976" s="61"/>
      <c r="G976" s="61"/>
      <c r="H976" s="6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ht="13.2" x14ac:dyDescent="0.25">
      <c r="A977" s="31"/>
      <c r="B977" s="31"/>
      <c r="C977" s="61"/>
      <c r="D977" s="61"/>
      <c r="E977" s="61"/>
      <c r="F977" s="61"/>
      <c r="G977" s="61"/>
      <c r="H977" s="6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ht="13.2" x14ac:dyDescent="0.25">
      <c r="A978" s="31"/>
      <c r="B978" s="31"/>
      <c r="C978" s="61"/>
      <c r="D978" s="61"/>
      <c r="E978" s="61"/>
      <c r="F978" s="61"/>
      <c r="G978" s="61"/>
      <c r="H978" s="6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ht="13.2" x14ac:dyDescent="0.25">
      <c r="A979" s="31"/>
      <c r="B979" s="31"/>
      <c r="C979" s="61"/>
      <c r="D979" s="61"/>
      <c r="E979" s="61"/>
      <c r="F979" s="61"/>
      <c r="G979" s="61"/>
      <c r="H979" s="6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ht="13.2" x14ac:dyDescent="0.25">
      <c r="A980" s="31"/>
      <c r="B980" s="31"/>
      <c r="C980" s="61"/>
      <c r="D980" s="61"/>
      <c r="E980" s="61"/>
      <c r="F980" s="61"/>
      <c r="G980" s="61"/>
      <c r="H980" s="6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ht="13.2" x14ac:dyDescent="0.25">
      <c r="A981" s="31"/>
      <c r="B981" s="31"/>
      <c r="C981" s="61"/>
      <c r="D981" s="61"/>
      <c r="E981" s="61"/>
      <c r="F981" s="61"/>
      <c r="G981" s="61"/>
      <c r="H981" s="6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ht="13.2" x14ac:dyDescent="0.25">
      <c r="A982" s="31"/>
      <c r="B982" s="31"/>
      <c r="C982" s="61"/>
      <c r="D982" s="61"/>
      <c r="E982" s="61"/>
      <c r="F982" s="61"/>
      <c r="G982" s="61"/>
      <c r="H982" s="6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ht="13.2" x14ac:dyDescent="0.25">
      <c r="A983" s="31"/>
      <c r="B983" s="31"/>
      <c r="C983" s="61"/>
      <c r="D983" s="61"/>
      <c r="E983" s="61"/>
      <c r="F983" s="61"/>
      <c r="G983" s="61"/>
      <c r="H983" s="6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ht="13.2" x14ac:dyDescent="0.25">
      <c r="A984" s="31"/>
      <c r="B984" s="31"/>
      <c r="C984" s="61"/>
      <c r="D984" s="61"/>
      <c r="E984" s="61"/>
      <c r="F984" s="61"/>
      <c r="G984" s="61"/>
      <c r="H984" s="6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ht="13.2" x14ac:dyDescent="0.25">
      <c r="A985" s="31"/>
      <c r="B985" s="31"/>
      <c r="C985" s="61"/>
      <c r="D985" s="61"/>
      <c r="E985" s="61"/>
      <c r="F985" s="61"/>
      <c r="G985" s="61"/>
      <c r="H985" s="6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ht="13.2" x14ac:dyDescent="0.25">
      <c r="A986" s="31"/>
      <c r="B986" s="31"/>
      <c r="C986" s="61"/>
      <c r="D986" s="61"/>
      <c r="E986" s="61"/>
      <c r="F986" s="61"/>
      <c r="G986" s="61"/>
      <c r="H986" s="6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ht="13.2" x14ac:dyDescent="0.25">
      <c r="A987" s="31"/>
      <c r="B987" s="31"/>
      <c r="C987" s="61"/>
      <c r="D987" s="61"/>
      <c r="E987" s="61"/>
      <c r="F987" s="61"/>
      <c r="G987" s="61"/>
      <c r="H987" s="6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ht="13.2" x14ac:dyDescent="0.25">
      <c r="A988" s="31"/>
      <c r="B988" s="31"/>
      <c r="C988" s="61"/>
      <c r="D988" s="61"/>
      <c r="E988" s="61"/>
      <c r="F988" s="61"/>
      <c r="G988" s="61"/>
      <c r="H988" s="6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ht="13.2" x14ac:dyDescent="0.25">
      <c r="A989" s="31"/>
      <c r="B989" s="31"/>
      <c r="C989" s="61"/>
      <c r="D989" s="61"/>
      <c r="E989" s="61"/>
      <c r="F989" s="61"/>
      <c r="G989" s="61"/>
      <c r="H989" s="6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ht="13.2" x14ac:dyDescent="0.25">
      <c r="A990" s="31"/>
      <c r="B990" s="31"/>
      <c r="C990" s="61"/>
      <c r="D990" s="61"/>
      <c r="E990" s="61"/>
      <c r="F990" s="61"/>
      <c r="G990" s="61"/>
      <c r="H990" s="6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ht="13.2" x14ac:dyDescent="0.25">
      <c r="A991" s="31"/>
      <c r="B991" s="31"/>
      <c r="C991" s="61"/>
      <c r="D991" s="61"/>
      <c r="E991" s="61"/>
      <c r="F991" s="61"/>
      <c r="G991" s="61"/>
      <c r="H991" s="6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ht="13.2" x14ac:dyDescent="0.25">
      <c r="A992" s="31"/>
      <c r="B992" s="31"/>
      <c r="C992" s="61"/>
      <c r="D992" s="61"/>
      <c r="E992" s="61"/>
      <c r="F992" s="61"/>
      <c r="G992" s="61"/>
      <c r="H992" s="6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ht="13.2" x14ac:dyDescent="0.25">
      <c r="A993" s="31"/>
      <c r="B993" s="31"/>
      <c r="C993" s="61"/>
      <c r="D993" s="61"/>
      <c r="E993" s="61"/>
      <c r="F993" s="61"/>
      <c r="G993" s="61"/>
      <c r="H993" s="6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ht="13.2" x14ac:dyDescent="0.25">
      <c r="A994" s="31"/>
      <c r="B994" s="31"/>
      <c r="C994" s="61"/>
      <c r="D994" s="61"/>
      <c r="E994" s="61"/>
      <c r="F994" s="61"/>
      <c r="G994" s="61"/>
      <c r="H994" s="6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ht="13.2" x14ac:dyDescent="0.25">
      <c r="A995" s="31"/>
      <c r="B995" s="31"/>
      <c r="C995" s="61"/>
      <c r="D995" s="61"/>
      <c r="E995" s="61"/>
      <c r="F995" s="61"/>
      <c r="G995" s="61"/>
      <c r="H995" s="6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ht="13.2" x14ac:dyDescent="0.25">
      <c r="A996" s="31"/>
      <c r="B996" s="31"/>
      <c r="C996" s="61"/>
      <c r="D996" s="61"/>
      <c r="E996" s="61"/>
      <c r="F996" s="61"/>
      <c r="G996" s="61"/>
      <c r="H996" s="6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ht="13.2" x14ac:dyDescent="0.25">
      <c r="A997" s="31"/>
      <c r="B997" s="31"/>
      <c r="C997" s="61"/>
      <c r="D997" s="61"/>
      <c r="E997" s="61"/>
      <c r="F997" s="61"/>
      <c r="G997" s="61"/>
      <c r="H997" s="6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ht="13.2" x14ac:dyDescent="0.25">
      <c r="A998" s="31"/>
      <c r="B998" s="31"/>
      <c r="C998" s="61"/>
      <c r="D998" s="61"/>
      <c r="E998" s="61"/>
      <c r="F998" s="61"/>
      <c r="G998" s="61"/>
      <c r="H998" s="6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ht="13.2" x14ac:dyDescent="0.25">
      <c r="A999" s="31"/>
      <c r="B999" s="31"/>
      <c r="C999" s="61"/>
      <c r="D999" s="61"/>
      <c r="E999" s="61"/>
      <c r="F999" s="61"/>
      <c r="G999" s="61"/>
      <c r="H999" s="6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ht="13.2" x14ac:dyDescent="0.25">
      <c r="A1000" s="31"/>
      <c r="B1000" s="31"/>
      <c r="C1000" s="61"/>
      <c r="D1000" s="61"/>
      <c r="E1000" s="61"/>
      <c r="F1000" s="61"/>
      <c r="G1000" s="61"/>
      <c r="H1000" s="6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 spans="1:27" ht="13.2" x14ac:dyDescent="0.25">
      <c r="A1001" s="31"/>
      <c r="B1001" s="31"/>
      <c r="C1001" s="61"/>
      <c r="D1001" s="61"/>
      <c r="E1001" s="61"/>
      <c r="F1001" s="61"/>
      <c r="G1001" s="61"/>
      <c r="H1001" s="6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</sheetData>
  <mergeCells count="1">
    <mergeCell ref="C1:F1"/>
  </mergeCells>
  <conditionalFormatting sqref="A3:B24">
    <cfRule type="expression" dxfId="5" priority="1">
      <formula>$A3&gt;$A$1</formula>
    </cfRule>
    <cfRule type="expression" dxfId="4" priority="2">
      <formula>A3=$A$1</formula>
    </cfRule>
  </conditionalFormatting>
  <conditionalFormatting sqref="J3 C3:H17">
    <cfRule type="expression" dxfId="3" priority="4">
      <formula>AND($A3&lt;$A$1, OR(C3="",C3=$J$3),C$2&lt;&gt;"")</formula>
    </cfRule>
    <cfRule type="expression" dxfId="2" priority="5">
      <formula>AND($A3=$A$1, OR(C3="",C3=$J$3),C$2&lt;&gt;"")</formula>
    </cfRule>
    <cfRule type="containsText" dxfId="1" priority="6" operator="containsText" text="T: –">
      <formula>NOT(ISERROR(SEARCH(("T: –"),(C3))))</formula>
    </cfRule>
  </conditionalFormatting>
  <conditionalFormatting sqref="J3 C3:H24">
    <cfRule type="expression" dxfId="0" priority="3">
      <formula>$K3=0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Main</vt:lpstr>
      <vt:lpstr>Daily Scrum</vt:lpstr>
      <vt:lpstr>Task Rank Chart</vt:lpstr>
      <vt:lpstr>Person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(20112513) Padraic Coffey</cp:lastModifiedBy>
  <dcterms:created xsi:type="dcterms:W3CDTF">2025-11-07T12:31:11Z</dcterms:created>
  <dcterms:modified xsi:type="dcterms:W3CDTF">2025-11-07T13:05:59Z</dcterms:modified>
</cp:coreProperties>
</file>